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ontract5.sharepoint.com/sites/ALXadminteam/Shared Documents/GOJ - Chief Operating Office/Espresso Sessions/"/>
    </mc:Choice>
  </mc:AlternateContent>
  <xr:revisionPtr revIDLastSave="0" documentId="8_{7F3979E6-C955-4CEC-9AFC-AC96872A8E2A}" xr6:coauthVersionLast="47" xr6:coauthVersionMax="47" xr10:uidLastSave="{00000000-0000-0000-0000-000000000000}"/>
  <bookViews>
    <workbookView xWindow="-14895" yWindow="-16320" windowWidth="29040" windowHeight="15720" firstSheet="5" activeTab="5" xr2:uid="{00000000-000D-0000-FFFF-FFFF00000000}"/>
  </bookViews>
  <sheets>
    <sheet name="Navigation-Sorting-Filtering" sheetId="2" r:id="rId1"/>
    <sheet name="Pivot Table" sheetId="3" r:id="rId2"/>
    <sheet name="Conditional Formatting" sheetId="5" r:id="rId3"/>
    <sheet name="Column - Bar Chart" sheetId="8" r:id="rId4"/>
    <sheet name="Pie Chart" sheetId="9" r:id="rId5"/>
    <sheet name="Cell Styles" sheetId="6" r:id="rId6"/>
  </sheets>
  <externalReferences>
    <externalReference r:id="rId7"/>
  </externalReferences>
  <definedNames>
    <definedName name="_56F9DC9755BA473782653E2940F9FormId">"ERVWK999XEmBZPVq53bFSuKg0tl6P7lPpZaLkWIi02pUQjFLU1dUTFE2TFQ0S0g4VVFXT1VJNDBaVyQlQCN0PWcu"</definedName>
    <definedName name="_56F9DC9755BA473782653E2940F9ResponseSheet">"Form1"</definedName>
    <definedName name="_56F9DC9755BA473782653E2940F9SourceDocId">"{28297dbd-b45f-431d-8976-06ea7ae00eed}"</definedName>
    <definedName name="_xlnm._FilterDatabase" localSheetId="0" hidden="1">'Navigation-Sorting-Filtering'!$A$4:$AF$124</definedName>
    <definedName name="_xlnm._FilterDatabase" localSheetId="1" hidden="1">'Pivot Table'!$A$1:$M$110</definedName>
    <definedName name="Dept">'[1]HR - Lists'!$D$2:$D$5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Nation">'[1]HR - Lists'!$A$3:$A$6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1" i="3" l="1"/>
  <c r="E9" i="9"/>
  <c r="D9" i="9"/>
  <c r="C9" i="9"/>
  <c r="B9" i="9"/>
  <c r="F8" i="9"/>
  <c r="F7" i="9"/>
  <c r="F6" i="9"/>
  <c r="F5" i="9"/>
  <c r="F4" i="9"/>
  <c r="F9" i="9" s="1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N14" i="8"/>
  <c r="N13" i="8"/>
  <c r="N12" i="8"/>
  <c r="N11" i="8"/>
  <c r="N10" i="8"/>
  <c r="N9" i="8"/>
  <c r="N8" i="8"/>
  <c r="N7" i="8"/>
  <c r="N6" i="8"/>
  <c r="N5" i="8"/>
  <c r="N4" i="8"/>
  <c r="B7" i="6" l="1"/>
  <c r="C7" i="6"/>
  <c r="D7" i="6"/>
  <c r="E7" i="6"/>
  <c r="F7" i="6"/>
  <c r="G7" i="6"/>
  <c r="H7" i="6"/>
  <c r="I7" i="6"/>
  <c r="J7" i="6"/>
  <c r="K7" i="6"/>
  <c r="L7" i="6"/>
  <c r="M7" i="6"/>
  <c r="B19" i="6"/>
  <c r="C19" i="6"/>
  <c r="D19" i="6"/>
  <c r="E19" i="6"/>
  <c r="F19" i="6"/>
  <c r="G19" i="6"/>
  <c r="H19" i="6"/>
  <c r="I19" i="6"/>
  <c r="J19" i="6"/>
  <c r="K19" i="6"/>
  <c r="L19" i="6"/>
  <c r="M19" i="6"/>
  <c r="B20" i="6"/>
  <c r="C20" i="6"/>
  <c r="D20" i="6"/>
  <c r="E20" i="6"/>
  <c r="F20" i="6"/>
  <c r="G20" i="6"/>
  <c r="H20" i="6"/>
  <c r="I20" i="6"/>
  <c r="J20" i="6"/>
  <c r="K20" i="6"/>
  <c r="L20" i="6"/>
  <c r="M20" i="6"/>
  <c r="B21" i="6"/>
  <c r="C21" i="6"/>
  <c r="D21" i="6"/>
  <c r="E21" i="6"/>
  <c r="F21" i="6"/>
  <c r="G21" i="6"/>
  <c r="H21" i="6"/>
  <c r="I21" i="6"/>
  <c r="J21" i="6"/>
  <c r="K21" i="6"/>
  <c r="L21" i="6"/>
  <c r="M21" i="6"/>
  <c r="B22" i="6"/>
  <c r="C22" i="6"/>
  <c r="D22" i="6"/>
  <c r="E22" i="6"/>
  <c r="F22" i="6"/>
  <c r="G22" i="6"/>
  <c r="H22" i="6"/>
  <c r="I22" i="6"/>
  <c r="J22" i="6"/>
  <c r="K22" i="6"/>
  <c r="L22" i="6"/>
  <c r="M22" i="6"/>
  <c r="B23" i="6"/>
  <c r="C23" i="6"/>
  <c r="D23" i="6"/>
  <c r="E23" i="6"/>
  <c r="F23" i="6"/>
  <c r="G23" i="6"/>
  <c r="H23" i="6"/>
  <c r="I23" i="6"/>
  <c r="J23" i="6"/>
  <c r="K23" i="6"/>
  <c r="L23" i="6"/>
  <c r="M23" i="6"/>
  <c r="B24" i="6"/>
  <c r="C24" i="6"/>
  <c r="D24" i="6"/>
  <c r="E24" i="6"/>
  <c r="F24" i="6"/>
  <c r="G24" i="6"/>
  <c r="H24" i="6"/>
  <c r="I24" i="6"/>
  <c r="J24" i="6"/>
  <c r="K24" i="6"/>
  <c r="L24" i="6"/>
  <c r="M24" i="6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tc={D6D83B02-149E-470E-86C5-36AF982A1145}</author>
  </authors>
  <commentList>
    <comment ref="O3" authorId="0" shapeId="0" xr:uid="{D6D83B02-149E-470E-86C5-36AF982A11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@Alex Morel just check we have steps on each tab, that match what we discussed. Thanks
</t>
      </text>
    </comment>
  </commentList>
</comments>
</file>

<file path=xl/sharedStrings.xml><?xml version="1.0" encoding="utf-8"?>
<sst xmlns="http://schemas.openxmlformats.org/spreadsheetml/2006/main" count="1923" uniqueCount="340">
  <si>
    <t>Olympic Medal Table</t>
  </si>
  <si>
    <t>Athens</t>
  </si>
  <si>
    <t>Paris</t>
  </si>
  <si>
    <t>St Louis</t>
  </si>
  <si>
    <t>London</t>
  </si>
  <si>
    <t>Stockholm</t>
  </si>
  <si>
    <t>Antwerp</t>
  </si>
  <si>
    <t>Amsterdam</t>
  </si>
  <si>
    <t>Los Angeles</t>
  </si>
  <si>
    <t>Berlin</t>
  </si>
  <si>
    <t>Helsinki</t>
  </si>
  <si>
    <t>Melbourne / Stockholm</t>
  </si>
  <si>
    <t>Rome</t>
  </si>
  <si>
    <t>Tokyo</t>
  </si>
  <si>
    <t>Mexico</t>
  </si>
  <si>
    <t>Munich</t>
  </si>
  <si>
    <t>Montreal</t>
  </si>
  <si>
    <t>Moscow</t>
  </si>
  <si>
    <t>Seoul</t>
  </si>
  <si>
    <t>Barcelona</t>
  </si>
  <si>
    <t>Atlanta</t>
  </si>
  <si>
    <t>Sydney</t>
  </si>
  <si>
    <t>Bejing</t>
  </si>
  <si>
    <t>Rio</t>
  </si>
  <si>
    <t>Country \ Year</t>
  </si>
  <si>
    <t>Continent</t>
  </si>
  <si>
    <t>Date Joined</t>
  </si>
  <si>
    <t>France</t>
  </si>
  <si>
    <t>Europe</t>
  </si>
  <si>
    <t>Germany</t>
  </si>
  <si>
    <t>Hungary</t>
  </si>
  <si>
    <t>Greece</t>
  </si>
  <si>
    <t>Australia</t>
  </si>
  <si>
    <t>Oceanian</t>
  </si>
  <si>
    <t>Denmark</t>
  </si>
  <si>
    <t>Great Britain</t>
  </si>
  <si>
    <t>United States of America</t>
  </si>
  <si>
    <t>North America</t>
  </si>
  <si>
    <t>Belgium</t>
  </si>
  <si>
    <t>Canada</t>
  </si>
  <si>
    <t>Finland</t>
  </si>
  <si>
    <t>Portugal</t>
  </si>
  <si>
    <t>Egypt</t>
  </si>
  <si>
    <t>Africa</t>
  </si>
  <si>
    <t>Spain</t>
  </si>
  <si>
    <t>Luxembourg</t>
  </si>
  <si>
    <t>Switzerland</t>
  </si>
  <si>
    <t>Japan</t>
  </si>
  <si>
    <t>Asia</t>
  </si>
  <si>
    <t>Austria</t>
  </si>
  <si>
    <t xml:space="preserve"> Europe</t>
  </si>
  <si>
    <t>Netherlands</t>
  </si>
  <si>
    <t>Sweden</t>
  </si>
  <si>
    <t>Romania</t>
  </si>
  <si>
    <t>Italy</t>
  </si>
  <si>
    <t>Poland</t>
  </si>
  <si>
    <t>Ireland</t>
  </si>
  <si>
    <t>Argentina</t>
  </si>
  <si>
    <t>South America</t>
  </si>
  <si>
    <t>Central America</t>
  </si>
  <si>
    <t>Bulgaria</t>
  </si>
  <si>
    <t>Haiti</t>
  </si>
  <si>
    <t>Southern America</t>
  </si>
  <si>
    <t>India</t>
  </si>
  <si>
    <t>Philippines</t>
  </si>
  <si>
    <t>Se Asia</t>
  </si>
  <si>
    <t>Chile</t>
  </si>
  <si>
    <t>Venezuela</t>
  </si>
  <si>
    <t>Iceland</t>
  </si>
  <si>
    <t>Brazil</t>
  </si>
  <si>
    <t>Peru</t>
  </si>
  <si>
    <t>Afghanistan</t>
  </si>
  <si>
    <t>Bermuda</t>
  </si>
  <si>
    <t>Caribeean</t>
  </si>
  <si>
    <t>Costa Rica</t>
  </si>
  <si>
    <t>Jamaica</t>
  </si>
  <si>
    <t>Sri Lanka</t>
  </si>
  <si>
    <t>Islamic Republic of Iran</t>
  </si>
  <si>
    <t>Middle East</t>
  </si>
  <si>
    <t>Panama</t>
  </si>
  <si>
    <t>Republic of Korea</t>
  </si>
  <si>
    <t>Iraq</t>
  </si>
  <si>
    <t>Colombia</t>
  </si>
  <si>
    <t>Puerto Rico</t>
  </si>
  <si>
    <t>Syrian Arab Republic</t>
  </si>
  <si>
    <t>Lebanon</t>
  </si>
  <si>
    <t>Guyana</t>
  </si>
  <si>
    <t>Pakistan</t>
  </si>
  <si>
    <t>Indian Sub-Continent</t>
  </si>
  <si>
    <t>Singapore</t>
  </si>
  <si>
    <t>Trinidad And Tobago</t>
  </si>
  <si>
    <t>Thailand</t>
  </si>
  <si>
    <t>Hong Kong</t>
  </si>
  <si>
    <t>Nigeria</t>
  </si>
  <si>
    <t>Bahamas</t>
  </si>
  <si>
    <t>Ghana</t>
  </si>
  <si>
    <t>Indonesia</t>
  </si>
  <si>
    <t>Israel</t>
  </si>
  <si>
    <t>Cuba</t>
  </si>
  <si>
    <t>Ethiopia</t>
  </si>
  <si>
    <t>Dominican Republic</t>
  </si>
  <si>
    <t>Malaysia</t>
  </si>
  <si>
    <t>SE Asia</t>
  </si>
  <si>
    <t>Barbados</t>
  </si>
  <si>
    <t>Kenya</t>
  </si>
  <si>
    <t>Fiji</t>
  </si>
  <si>
    <t>Pacific Island</t>
  </si>
  <si>
    <t>Uganda</t>
  </si>
  <si>
    <t>North Korea</t>
  </si>
  <si>
    <t>Tunisia</t>
  </si>
  <si>
    <t>Morocco</t>
  </si>
  <si>
    <t>Ecuador</t>
  </si>
  <si>
    <t>Suriname</t>
  </si>
  <si>
    <t>San Marino</t>
  </si>
  <si>
    <t>Chinese Taipei (Taiwan)</t>
  </si>
  <si>
    <t>Mongolia</t>
  </si>
  <si>
    <t>Cameroon</t>
  </si>
  <si>
    <t>Côte D'Ivoire</t>
  </si>
  <si>
    <t>Senegal</t>
  </si>
  <si>
    <t>Niger</t>
  </si>
  <si>
    <t>Zambia</t>
  </si>
  <si>
    <t>Algeria</t>
  </si>
  <si>
    <t>Saudi Arabia</t>
  </si>
  <si>
    <t>Kuwait</t>
  </si>
  <si>
    <t>Tanzania</t>
  </si>
  <si>
    <t>Paraguay</t>
  </si>
  <si>
    <t>Burkina Faso</t>
  </si>
  <si>
    <t>People's Republic of China</t>
  </si>
  <si>
    <t>Mozambique</t>
  </si>
  <si>
    <t>Vietnam</t>
  </si>
  <si>
    <t>Botswana</t>
  </si>
  <si>
    <t>Qatar</t>
  </si>
  <si>
    <t>United Arab Emirates</t>
  </si>
  <si>
    <t>Zimbabwe</t>
  </si>
  <si>
    <t>Grenada</t>
  </si>
  <si>
    <t>Djibouti</t>
  </si>
  <si>
    <t>Tonga</t>
  </si>
  <si>
    <t>South Africa</t>
  </si>
  <si>
    <t>Lithuania</t>
  </si>
  <si>
    <t>Latvia</t>
  </si>
  <si>
    <t>Namibia</t>
  </si>
  <si>
    <t>Estonia</t>
  </si>
  <si>
    <t>Croatia</t>
  </si>
  <si>
    <t>Uzbekistan</t>
  </si>
  <si>
    <t>Central Asia</t>
  </si>
  <si>
    <t>Ukraine</t>
  </si>
  <si>
    <t>Azerbaijan</t>
  </si>
  <si>
    <t>Slovakia</t>
  </si>
  <si>
    <t>Slovenia</t>
  </si>
  <si>
    <t>Czech Republic</t>
  </si>
  <si>
    <t>North Macedonia</t>
  </si>
  <si>
    <t>Georgia</t>
  </si>
  <si>
    <t>Armenia</t>
  </si>
  <si>
    <t>Burundi</t>
  </si>
  <si>
    <t>Kyrgyzstan</t>
  </si>
  <si>
    <t>Republic of Moldova</t>
  </si>
  <si>
    <t>Russian Federation</t>
  </si>
  <si>
    <t>Belarus</t>
  </si>
  <si>
    <t>Kazakhstan</t>
  </si>
  <si>
    <t>Turkmenistan</t>
  </si>
  <si>
    <t>Eritrea</t>
  </si>
  <si>
    <t>Kosovo</t>
  </si>
  <si>
    <t>Turkey</t>
  </si>
  <si>
    <t>Asia Minor</t>
  </si>
  <si>
    <t>02.09.1911</t>
  </si>
  <si>
    <t>Serbia</t>
  </si>
  <si>
    <t>07.06.1912</t>
  </si>
  <si>
    <t>New Zealand</t>
  </si>
  <si>
    <t>19.10.1919</t>
  </si>
  <si>
    <t>Uruguay</t>
  </si>
  <si>
    <t>20.04.1923</t>
  </si>
  <si>
    <t>Norway</t>
  </si>
  <si>
    <t>24.02.1903</t>
  </si>
  <si>
    <t>Status of Account</t>
  </si>
  <si>
    <t>Name</t>
  </si>
  <si>
    <t>Jurisdiction</t>
  </si>
  <si>
    <t>Name2</t>
  </si>
  <si>
    <t>Check list Completed</t>
  </si>
  <si>
    <t>Date passed to Admin</t>
  </si>
  <si>
    <t>Progress with Admin</t>
  </si>
  <si>
    <t>Date Signed by Director</t>
  </si>
  <si>
    <t>Date Ledger Closed</t>
  </si>
  <si>
    <t>Date fees due</t>
  </si>
  <si>
    <t>Fee due</t>
  </si>
  <si>
    <t>Outstanding</t>
  </si>
  <si>
    <t>Limited</t>
  </si>
  <si>
    <t>Jsy</t>
  </si>
  <si>
    <t>Alex</t>
  </si>
  <si>
    <t>Enterprises</t>
  </si>
  <si>
    <t>Gsy</t>
  </si>
  <si>
    <t>Fred</t>
  </si>
  <si>
    <t>Consultants</t>
  </si>
  <si>
    <t>WITH</t>
  </si>
  <si>
    <t>Kathryn</t>
  </si>
  <si>
    <t>Completed</t>
  </si>
  <si>
    <t>Jersey</t>
  </si>
  <si>
    <t>Co</t>
  </si>
  <si>
    <t>Company</t>
  </si>
  <si>
    <t>Holdings</t>
  </si>
  <si>
    <t>Elizabeth</t>
  </si>
  <si>
    <t>Properties</t>
  </si>
  <si>
    <t>Brothers</t>
  </si>
  <si>
    <t>Street</t>
  </si>
  <si>
    <t>Mutual</t>
  </si>
  <si>
    <t>In Progress</t>
  </si>
  <si>
    <t>on hold</t>
  </si>
  <si>
    <t>Design</t>
  </si>
  <si>
    <t>Ventures</t>
  </si>
  <si>
    <t>Associates</t>
  </si>
  <si>
    <t>Eleanor</t>
  </si>
  <si>
    <t>Capital</t>
  </si>
  <si>
    <t>Lux</t>
  </si>
  <si>
    <t>N/A</t>
  </si>
  <si>
    <t>Asset</t>
  </si>
  <si>
    <t>Investments</t>
  </si>
  <si>
    <t xml:space="preserve">Elizabeth </t>
  </si>
  <si>
    <t>House</t>
  </si>
  <si>
    <t>Music</t>
  </si>
  <si>
    <t>Nicola</t>
  </si>
  <si>
    <t>Marketing</t>
  </si>
  <si>
    <t>Gardens</t>
  </si>
  <si>
    <t>Solutions</t>
  </si>
  <si>
    <t>Services</t>
  </si>
  <si>
    <t>Resource</t>
  </si>
  <si>
    <t>Consulting</t>
  </si>
  <si>
    <t>Total</t>
  </si>
  <si>
    <t>Director</t>
  </si>
  <si>
    <t>Admin</t>
  </si>
  <si>
    <t>Passport</t>
  </si>
  <si>
    <t>Utility Bill</t>
  </si>
  <si>
    <t>Signature</t>
  </si>
  <si>
    <t>Outstanding Bal</t>
  </si>
  <si>
    <t>Date Due</t>
  </si>
  <si>
    <t>GSY</t>
  </si>
  <si>
    <t>KM</t>
  </si>
  <si>
    <t>HARPER</t>
  </si>
  <si>
    <t>Yes</t>
  </si>
  <si>
    <t>YES</t>
  </si>
  <si>
    <t>NO</t>
  </si>
  <si>
    <t>JSY</t>
  </si>
  <si>
    <t>EF</t>
  </si>
  <si>
    <t>MOREL</t>
  </si>
  <si>
    <t>UK</t>
  </si>
  <si>
    <t>TD</t>
  </si>
  <si>
    <t>CMC</t>
  </si>
  <si>
    <t>WALKERS</t>
  </si>
  <si>
    <t>HOBSONJ</t>
  </si>
  <si>
    <t>RICCIS</t>
  </si>
  <si>
    <t>CAYMAN</t>
  </si>
  <si>
    <t>PAINE</t>
  </si>
  <si>
    <t>LUX</t>
  </si>
  <si>
    <t>BUTELS</t>
  </si>
  <si>
    <t>BLAKE</t>
  </si>
  <si>
    <t>DE JESUS</t>
  </si>
  <si>
    <t>STEADM</t>
  </si>
  <si>
    <t>FLAGEULD</t>
  </si>
  <si>
    <t>Cayman</t>
  </si>
  <si>
    <t>AM</t>
  </si>
  <si>
    <t>BVI</t>
  </si>
  <si>
    <t>SMITH</t>
  </si>
  <si>
    <t>Russia</t>
  </si>
  <si>
    <t>JONES</t>
  </si>
  <si>
    <t>US</t>
  </si>
  <si>
    <t>CJ</t>
  </si>
  <si>
    <t>CDB</t>
  </si>
  <si>
    <t>HARKERS</t>
  </si>
  <si>
    <t>MOSSV</t>
  </si>
  <si>
    <t>MOYAE</t>
  </si>
  <si>
    <t>PRODUCT SOLD BY MONTH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</si>
  <si>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</si>
  <si>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</si>
  <si>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</si>
  <si>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</si>
  <si>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</si>
  <si>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</si>
  <si>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</si>
  <si>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</si>
  <si>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</si>
  <si>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</si>
  <si>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</si>
  <si>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</si>
  <si>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</si>
  <si>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Excel</t>
  </si>
  <si>
    <t>Word</t>
  </si>
  <si>
    <t>Outlook</t>
  </si>
  <si>
    <t>PowerPoint</t>
  </si>
  <si>
    <t>Teams</t>
  </si>
  <si>
    <t>ACCA</t>
  </si>
  <si>
    <t>ESOL</t>
  </si>
  <si>
    <t>W10</t>
  </si>
  <si>
    <t>M365</t>
  </si>
  <si>
    <t>Visio</t>
  </si>
  <si>
    <t>Project</t>
  </si>
  <si>
    <t>Revenue</t>
  </si>
  <si>
    <t>PREDICTED</t>
  </si>
  <si>
    <t>Qtr 1</t>
  </si>
  <si>
    <t>Qtr 2</t>
  </si>
  <si>
    <t>Qtr 3</t>
  </si>
  <si>
    <t>Qtr 4</t>
  </si>
  <si>
    <t>Guernsey</t>
  </si>
  <si>
    <t>IOM</t>
  </si>
  <si>
    <t>Income and Expenditure</t>
  </si>
  <si>
    <t>Main Heading</t>
  </si>
  <si>
    <t>Col Heading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</si>
  <si>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</si>
  <si>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</si>
  <si>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</si>
  <si>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</si>
  <si>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</si>
  <si>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</si>
  <si>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</si>
  <si>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</si>
  <si>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</si>
  <si>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</si>
  <si>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</si>
  <si>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Row Heading</t>
  </si>
  <si>
    <t>Salary</t>
  </si>
  <si>
    <t>Tenants</t>
  </si>
  <si>
    <t>Numbers</t>
  </si>
  <si>
    <t>Host Famiy</t>
  </si>
  <si>
    <t>Positive</t>
  </si>
  <si>
    <t>Negative</t>
  </si>
  <si>
    <t>Stationery</t>
  </si>
  <si>
    <t>Beverages</t>
  </si>
  <si>
    <t>Totals</t>
  </si>
  <si>
    <t>Petrol</t>
  </si>
  <si>
    <t>Paycards</t>
  </si>
  <si>
    <t>Electricity</t>
  </si>
  <si>
    <t>IT Support</t>
  </si>
  <si>
    <t>Percentages</t>
  </si>
  <si>
    <t>Literature</t>
  </si>
  <si>
    <t>Telephone</t>
  </si>
  <si>
    <t>Rates</t>
  </si>
  <si>
    <t>Rent</t>
  </si>
  <si>
    <t>Salaries</t>
  </si>
  <si>
    <t>Average</t>
  </si>
  <si>
    <t>Maximum</t>
  </si>
  <si>
    <t>Minimum</t>
  </si>
  <si>
    <t>Count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</si>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</sst>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£&quot;* #,##0.00_-;\-&quot;£&quot;* #,##0.00_-;_-&quot;£&quot;* &quot;-&quot;??_-;_-@_-"/>
    <numFmt numFmtId="165" formatCode="_-* #,##0_-;\-* #,##0_-;_-* &quot;-&quot;??_-;_-@_-"/>
    <numFmt numFmtId="166" formatCode="_-[$£-809]* #,##0.00_-;\-[$£-809]* #,##0.00_-;_-[$£-809]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3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Arial"/>
    </font>
    <font>
      <sz val="8"/>
      <name val="Arial"/>
    </font>
    <font>
      <sz val="11"/>
      <color theme="1"/>
      <name val="Arial"/>
    </font>
    <font>
      <sz val="8"/>
      <color indexed="23"/>
      <name val="Arial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 style="hair">
        <color indexed="22"/>
      </left>
      <right style="hair">
        <color indexed="22"/>
      </right>
      <top style="thin">
        <color indexed="64"/>
      </top>
      <bottom style="thin">
        <color indexed="64"/>
      </bottom>
      <diagonal/>
    </border>
    <border>
      <left style="hair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22"/>
      </bottom>
      <diagonal/>
    </border>
    <border>
      <left/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thin">
        <color indexed="64"/>
      </right>
      <top/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/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hair">
        <color indexed="22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165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0" xfId="0" quotePrefix="1" applyFont="1" applyAlignment="1">
      <alignment horizontal="center"/>
    </xf>
    <xf numFmtId="15" fontId="3" fillId="0" borderId="0" xfId="0" applyNumberFormat="1" applyFont="1" applyAlignment="1">
      <alignment horizontal="center"/>
    </xf>
    <xf numFmtId="15" fontId="4" fillId="0" borderId="0" xfId="0" applyNumberFormat="1" applyFont="1" applyAlignment="1">
      <alignment horizontal="center" wrapText="1"/>
    </xf>
    <xf numFmtId="0" fontId="4" fillId="0" borderId="0" xfId="0" applyFont="1"/>
    <xf numFmtId="14" fontId="4" fillId="0" borderId="0" xfId="0" applyNumberFormat="1" applyFont="1"/>
    <xf numFmtId="0" fontId="3" fillId="0" borderId="0" xfId="0" applyFont="1" applyAlignment="1">
      <alignment horizontal="left" vertical="center" wrapText="1"/>
    </xf>
    <xf numFmtId="14" fontId="0" fillId="0" borderId="0" xfId="0" applyNumberForma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1" fillId="0" borderId="0" xfId="0" applyFont="1"/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2" fillId="0" borderId="0" xfId="0" applyFont="1" applyAlignment="1">
      <alignment wrapText="1"/>
    </xf>
    <xf numFmtId="0" fontId="3" fillId="4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4" borderId="9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3" fillId="4" borderId="13" xfId="0" applyNumberFormat="1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center"/>
    </xf>
    <xf numFmtId="3" fontId="3" fillId="4" borderId="17" xfId="0" applyNumberFormat="1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3" fontId="12" fillId="0" borderId="4" xfId="0" applyNumberFormat="1" applyFont="1" applyBorder="1" applyAlignment="1">
      <alignment horizontal="center"/>
    </xf>
    <xf numFmtId="3" fontId="12" fillId="4" borderId="4" xfId="0" applyNumberFormat="1" applyFont="1" applyFill="1" applyBorder="1" applyAlignment="1">
      <alignment horizontal="center"/>
    </xf>
    <xf numFmtId="3" fontId="12" fillId="0" borderId="5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3" fillId="0" borderId="0" xfId="0" applyFont="1"/>
    <xf numFmtId="0" fontId="9" fillId="3" borderId="0" xfId="0" applyFont="1" applyFill="1"/>
    <xf numFmtId="9" fontId="0" fillId="0" borderId="0" xfId="1" applyFont="1"/>
    <xf numFmtId="9" fontId="0" fillId="0" borderId="0" xfId="0" applyNumberFormat="1"/>
    <xf numFmtId="0" fontId="14" fillId="0" borderId="0" xfId="0" applyFont="1"/>
    <xf numFmtId="14" fontId="15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vertical="top" wrapText="1"/>
    </xf>
    <xf numFmtId="14" fontId="15" fillId="0" borderId="0" xfId="0" applyNumberFormat="1" applyFont="1" applyAlignment="1">
      <alignment vertical="top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/>
    </xf>
    <xf numFmtId="0" fontId="9" fillId="6" borderId="19" xfId="0" applyFont="1" applyFill="1" applyBorder="1" applyAlignment="1">
      <alignment horizontal="center" vertical="center"/>
    </xf>
    <xf numFmtId="0" fontId="0" fillId="0" borderId="19" xfId="0" applyBorder="1"/>
    <xf numFmtId="14" fontId="0" fillId="0" borderId="19" xfId="0" applyNumberFormat="1" applyBorder="1" applyAlignment="1">
      <alignment horizontal="center" vertical="center"/>
    </xf>
    <xf numFmtId="166" fontId="0" fillId="0" borderId="19" xfId="0" applyNumberFormat="1" applyBorder="1"/>
    <xf numFmtId="14" fontId="0" fillId="0" borderId="0" xfId="0" applyNumberFormat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5" fillId="7" borderId="0" xfId="0" applyFont="1" applyFill="1" applyAlignment="1">
      <alignment horizontal="center" vertical="center"/>
    </xf>
    <xf numFmtId="14" fontId="15" fillId="7" borderId="0" xfId="0" applyNumberFormat="1" applyFont="1" applyFill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66" fontId="0" fillId="0" borderId="23" xfId="0" applyNumberFormat="1" applyBorder="1"/>
    <xf numFmtId="14" fontId="3" fillId="0" borderId="1" xfId="0" applyNumberFormat="1" applyFont="1" applyBorder="1" applyAlignment="1">
      <alignment horizontal="left"/>
    </xf>
    <xf numFmtId="164" fontId="3" fillId="0" borderId="1" xfId="2" applyFont="1" applyBorder="1"/>
    <xf numFmtId="0" fontId="2" fillId="0" borderId="0" xfId="0" applyFont="1" applyAlignment="1">
      <alignment horizontal="center" vertical="center"/>
    </xf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Per cent" xfId="1" builtinId="5"/>
  </cellStyles>
  <dxfs count="0"/>
  <tableStyles count="1" defaultTableStyle="TableStyleMedium2" defaultPivotStyle="PivotStyleMedium9">
    <tableStyle name="Invisible" pivot="0" table="0" count="0" xr9:uid="{40FAEAC2-A8C9-492C-8770-E05EAF429C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276882</xdr:colOff>
      <xdr:row>0</xdr:row>
      <xdr:rowOff>218090</xdr:rowOff>
    </xdr:from>
    <xdr:to>
      <xdr:col>1</xdr:col>
      <xdr:colOff>210207</xdr:colOff>
      <xdr:row>3</xdr:row>
      <xdr:rowOff>8814</xdr:rowOff>
    </xdr:to>
    <xdr:pic>
      <xdr:nvPicPr>
        <xdr:cNvPr id="2" name="Picture 39" descr="http://thesinosaudiblog.files.wordpress.com/2009/11/olympics.png">
          <a:extLst>
            <a:ext uri="{FF2B5EF4-FFF2-40B4-BE49-F238E27FC236}">
              <a16:creationId xmlns:a16="http://schemas.microsoft.com/office/drawing/2014/main" id="{5D0DF727-DAD5-4482-85E5-8C37A4180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74" b="15323"/>
        <a:stretch>
          <a:fillRect/>
        </a:stretch>
      </xdr:blipFill>
      <xdr:spPr bwMode="auto">
        <a:xfrm>
          <a:off x="276882" y="218090"/>
          <a:ext cx="1033030" cy="651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762000</xdr:colOff>
      <xdr:row>3</xdr:row>
      <xdr:rowOff>228600</xdr:rowOff>
    </xdr:from>
    <xdr:to>
      <xdr:col>20</xdr:col>
      <xdr:colOff>361950</xdr:colOff>
      <xdr:row>7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67CE0C-64EA-C1E9-4ED0-3E4CDB076D46}"/>
            </a:ext>
          </a:extLst>
        </xdr:cNvPr>
        <xdr:cNvSpPr txBox="1"/>
      </xdr:nvSpPr>
      <xdr:spPr>
        <a:xfrm>
          <a:off x="19411950" y="1257300"/>
          <a:ext cx="2428875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1. Review contents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2. Make a dynamic table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3. Produce a pivot table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933450</xdr:colOff>
      <xdr:row>5</xdr:row>
      <xdr:rowOff>47625</xdr:rowOff>
    </xdr:from>
    <xdr:to>
      <xdr:col>12</xdr:col>
      <xdr:colOff>142875</xdr:colOff>
      <xdr:row>10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CEE04B-557E-492D-B041-949CA4E32B3E}"/>
            </a:ext>
          </a:extLst>
        </xdr:cNvPr>
        <xdr:cNvSpPr txBox="1"/>
      </xdr:nvSpPr>
      <xdr:spPr>
        <a:xfrm>
          <a:off x="9239250" y="1000125"/>
          <a:ext cx="3362325" cy="93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1. Review contents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2. Make a dynamic table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3. Highlight jurisdictions in different colours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4. Highlight different ranges of outstanding balances (Exercise on PPT)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561973</xdr:colOff>
      <xdr:row>3</xdr:row>
      <xdr:rowOff>85725</xdr:rowOff>
    </xdr:from>
    <xdr:to>
      <xdr:col>27</xdr:col>
      <xdr:colOff>238124</xdr:colOff>
      <xdr:row>13</xdr:row>
      <xdr:rowOff>161925</xdr:rowOff>
    </xdr:to>
    <xdr:sp macro="" textlink="">
      <xdr:nvSpPr>
        <xdr:cNvPr id="8" name="TextBox 1">
          <a:extLst>
            <a:ext uri="{FF2B5EF4-FFF2-40B4-BE49-F238E27FC236}">
              <a16:creationId xmlns:a16="http://schemas.microsoft.com/office/drawing/2014/main" id="{2C6E182B-9658-4A74-AA74-B03EB8EDC65D}"/>
            </a:ext>
          </a:extLst>
        </xdr:cNvPr>
        <xdr:cNvSpPr txBox="1"/>
      </xdr:nvSpPr>
      <xdr:spPr>
        <a:xfrm>
          <a:off x="9223373" y="644525"/>
          <a:ext cx="7600951" cy="188595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600" u="none" baseline="0"/>
        </a:p>
        <a:p>
          <a:r>
            <a:rPr lang="en-GB" sz="1600" u="none" baseline="0"/>
            <a:t>1. Create a column chart to show all of the data on the existing sheet</a:t>
          </a:r>
        </a:p>
        <a:p>
          <a:r>
            <a:rPr lang="en-GB" sz="1600" u="none" baseline="0"/>
            <a:t>2. Create a column chart to show how many of each product were sold in January</a:t>
          </a:r>
        </a:p>
        <a:p>
          <a:r>
            <a:rPr lang="en-GB" sz="1600" u="none" baseline="0"/>
            <a:t>3. Change the data range to show the products sold in December </a:t>
          </a:r>
        </a:p>
        <a:p>
          <a:r>
            <a:rPr lang="en-GB" sz="1600" u="none" baseline="0"/>
            <a:t>4. Add a new series to the graph to include all the products sold in November</a:t>
          </a:r>
          <a:endParaRPr lang="en-GB" sz="1200" u="none" baseline="0"/>
        </a:p>
        <a:p>
          <a:endParaRPr lang="en-GB" sz="1200" u="none" baseline="0"/>
        </a:p>
        <a:p>
          <a:endParaRPr lang="en-GB" sz="1200" u="none" baseline="0"/>
        </a:p>
        <a:p>
          <a:endParaRPr lang="en-GB" sz="1200" u="none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3</xdr:row>
      <xdr:rowOff>66675</xdr:rowOff>
    </xdr:from>
    <xdr:to>
      <xdr:col>18</xdr:col>
      <xdr:colOff>590550</xdr:colOff>
      <xdr:row>11</xdr:row>
      <xdr:rowOff>104775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F61E97EF-3B6D-411B-B593-15689EC34232}"/>
            </a:ext>
          </a:extLst>
        </xdr:cNvPr>
        <xdr:cNvSpPr txBox="1"/>
      </xdr:nvSpPr>
      <xdr:spPr>
        <a:xfrm>
          <a:off x="4905375" y="638175"/>
          <a:ext cx="7353300" cy="15621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Create a Pie Chart to show the predicted Sales for Q4 by Jurisdiction</a:t>
          </a:r>
          <a:endParaRPr lang="en-GB" sz="1600">
            <a:effectLst/>
          </a:endParaRPr>
        </a:p>
        <a:p>
          <a:r>
            <a:rPr lang="en-GB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Format the chart</a:t>
          </a:r>
          <a:endParaRPr lang="en-GB" sz="1600">
            <a:effectLst/>
          </a:endParaRPr>
        </a:p>
        <a:p>
          <a:r>
            <a:rPr lang="en-GB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Pull the segment representing Jersey out of the Pie to highlight it. </a:t>
          </a:r>
          <a:endParaRPr lang="en-GB" sz="1600">
            <a:effectLst/>
          </a:endParaRPr>
        </a:p>
        <a:p>
          <a:endParaRPr lang="en-GB" sz="1100" u="none" baseline="0"/>
        </a:p>
        <a:p>
          <a:endParaRPr lang="en-GB" sz="1100" u="none" baseline="0"/>
        </a:p>
        <a:p>
          <a:endParaRPr lang="en-GB" sz="1100" u="none" baseline="0"/>
        </a:p>
        <a:p>
          <a:endParaRPr lang="en-GB" sz="1100" u="none" baseline="0"/>
        </a:p>
        <a:p>
          <a:endParaRPr lang="en-GB" sz="1100" u="none" baseline="0"/>
        </a:p>
        <a:p>
          <a:endParaRPr lang="en-GB" sz="1100" u="none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409575</xdr:colOff>
      <xdr:row>26</xdr:row>
      <xdr:rowOff>52387</xdr:rowOff>
    </xdr:from>
    <xdr:to>
      <xdr:col>14</xdr:col>
      <xdr:colOff>38100</xdr:colOff>
      <xdr:row>34</xdr:row>
      <xdr:rowOff>47625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4468D89E-61A1-4A02-9094-0D2C8F8B62BC}"/>
            </a:ext>
          </a:extLst>
        </xdr:cNvPr>
        <xdr:cNvSpPr txBox="1"/>
      </xdr:nvSpPr>
      <xdr:spPr>
        <a:xfrm>
          <a:off x="1914525" y="4891087"/>
          <a:ext cx="7429500" cy="1290638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/>
            <a:t>1. Change</a:t>
          </a:r>
          <a:r>
            <a:rPr lang="en-GB" sz="1600" baseline="0"/>
            <a:t> the formatting of the numbers so that they appear with two decimal places and thousand seperator.</a:t>
          </a:r>
        </a:p>
        <a:p>
          <a:r>
            <a:rPr lang="en-GB" sz="1600" baseline="0"/>
            <a:t>2. Custom format the numbers so that the negative numbers appear in red in brackets.</a:t>
          </a:r>
        </a:p>
        <a:p>
          <a:r>
            <a:rPr lang="en-GB" sz="1600" baseline="0"/>
            <a:t>3. Save this as a New Style.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xMorel\ALX%20Training\Trainers%20-%20Training%20Material\General\Visualising%20Data\Visualising%20Data%20-%20Dashboard%20Training%20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- Dshbd (Complete)"/>
      <sheetName val="Rev - Chart"/>
      <sheetName val="Rev - Model"/>
      <sheetName val="Rev - List"/>
      <sheetName val="Rev - Ops"/>
      <sheetName val="Rev - KPI"/>
      <sheetName val="Rev - Calc"/>
      <sheetName val="Rev - Data"/>
      <sheetName val="Rev - Check"/>
      <sheetName val="HR Dshbd (Complete)"/>
      <sheetName val="HR - Model"/>
      <sheetName val="HR - Lists"/>
      <sheetName val="HR"/>
      <sheetName val="HR - Staff"/>
      <sheetName val="HR - Calcs"/>
      <sheetName val="HR - Chart"/>
      <sheetName val="HR -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teven Emberson" id="{BE8B4CCF-DBC8-49DE-9F5F-08D6C1AF0E1D}" userId="Steven Emberson" providerId="None"/>
  <person displayName="Alex Morel" id="{CF1F68E6-7188-4508-8689-C1B73B0A9702}" userId="alex@alxtraining.com" providerId="PeoplePicker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" dT="2023-06-26T08:28:21.17" personId="{BE8B4CCF-DBC8-49DE-9F5F-08D6C1AF0E1D}" id="{D6D83B02-149E-470E-86C5-36AF982A1145}">
    <text xml:space="preserve">@Alex Morel just check we have steps on each tab, that match what we discussed. Thanks
</text>
    <mentions>
      <mention mentionpersonId="{CF1F68E6-7188-4508-8689-C1B73B0A9702}" mentionId="{3C0F9BBD-FDAD-4E3F-9738-D3F5E1AD43A5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84CB-38DB-42C2-BFCA-35727160E580}">
  <sheetPr>
    <tabColor theme="0"/>
  </sheetPr>
  <dimension ref="A1:AI135"/>
  <sheetViews>
    <sheetView zoomScale="110" zoomScaleNormal="85" workbookViewId="0">
      <selection activeCell="C10" sqref="C10"/>
    </sheetView>
  </sheetViews>
  <sheetFormatPr defaultColWidth="9.140625" defaultRowHeight="15.75" customHeight="1"/>
  <cols>
    <col min="1" max="1" width="16.42578125" style="62" customWidth="1"/>
    <col min="2" max="2" width="15.140625" style="62" customWidth="1"/>
    <col min="3" max="3" width="9.140625" style="54" bestFit="1" customWidth="1"/>
    <col min="4" max="6" width="8.5703125" style="63" customWidth="1"/>
    <col min="7" max="7" width="8.5703125" style="64" customWidth="1"/>
    <col min="8" max="15" width="8.5703125" style="63" customWidth="1"/>
    <col min="16" max="16" width="10.42578125" style="63" customWidth="1"/>
    <col min="17" max="28" width="8.5703125" style="63" customWidth="1"/>
    <col min="29" max="32" width="8.5703125" style="62" customWidth="1"/>
    <col min="33" max="16384" width="9.140625" style="62"/>
  </cols>
  <sheetData>
    <row r="1" spans="1:32" s="53" customFormat="1" ht="20.100000000000001">
      <c r="A1" s="53" t="s">
        <v>0</v>
      </c>
      <c r="C1" s="54"/>
      <c r="D1" s="55"/>
      <c r="E1" s="55"/>
      <c r="F1" s="55"/>
      <c r="G1" s="56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32" s="53" customFormat="1" ht="15.75" customHeight="1">
      <c r="B2" s="57"/>
      <c r="C2" s="54"/>
      <c r="D2" s="55"/>
    </row>
    <row r="3" spans="1:32" s="58" customFormat="1" ht="32.1" customHeight="1">
      <c r="C3" s="59"/>
      <c r="D3" s="60" t="s">
        <v>1</v>
      </c>
      <c r="E3" s="60" t="s">
        <v>2</v>
      </c>
      <c r="F3" s="60" t="s">
        <v>3</v>
      </c>
      <c r="G3" s="60" t="s">
        <v>4</v>
      </c>
      <c r="H3" s="60" t="s">
        <v>5</v>
      </c>
      <c r="I3" s="60" t="s">
        <v>6</v>
      </c>
      <c r="J3" s="60" t="s">
        <v>2</v>
      </c>
      <c r="K3" s="60" t="s">
        <v>7</v>
      </c>
      <c r="L3" s="60" t="s">
        <v>8</v>
      </c>
      <c r="M3" s="60" t="s">
        <v>9</v>
      </c>
      <c r="N3" s="60" t="s">
        <v>4</v>
      </c>
      <c r="O3" s="60" t="s">
        <v>10</v>
      </c>
      <c r="P3" s="60" t="s">
        <v>11</v>
      </c>
      <c r="Q3" s="60" t="s">
        <v>12</v>
      </c>
      <c r="R3" s="60" t="s">
        <v>13</v>
      </c>
      <c r="S3" s="60" t="s">
        <v>14</v>
      </c>
      <c r="T3" s="60" t="s">
        <v>15</v>
      </c>
      <c r="U3" s="60" t="s">
        <v>16</v>
      </c>
      <c r="V3" s="60" t="s">
        <v>17</v>
      </c>
      <c r="W3" s="60" t="s">
        <v>8</v>
      </c>
      <c r="X3" s="60" t="s">
        <v>18</v>
      </c>
      <c r="Y3" s="60" t="s">
        <v>19</v>
      </c>
      <c r="Z3" s="60" t="s">
        <v>20</v>
      </c>
      <c r="AA3" s="60" t="s">
        <v>21</v>
      </c>
      <c r="AB3" s="60" t="s">
        <v>1</v>
      </c>
      <c r="AC3" s="60" t="s">
        <v>22</v>
      </c>
      <c r="AD3" s="60" t="s">
        <v>4</v>
      </c>
      <c r="AE3" s="60" t="s">
        <v>23</v>
      </c>
      <c r="AF3" s="60" t="s">
        <v>13</v>
      </c>
    </row>
    <row r="4" spans="1:32" s="61" customFormat="1" ht="15.75" customHeight="1">
      <c r="A4" s="75" t="s">
        <v>24</v>
      </c>
      <c r="B4" s="75" t="s">
        <v>25</v>
      </c>
      <c r="C4" s="76" t="s">
        <v>26</v>
      </c>
      <c r="D4" s="75">
        <v>1896</v>
      </c>
      <c r="E4" s="75">
        <v>1900</v>
      </c>
      <c r="F4" s="75">
        <v>1904</v>
      </c>
      <c r="G4" s="75">
        <v>1908</v>
      </c>
      <c r="H4" s="75">
        <v>1912</v>
      </c>
      <c r="I4" s="75">
        <v>1920</v>
      </c>
      <c r="J4" s="75">
        <v>1924</v>
      </c>
      <c r="K4" s="75">
        <v>1928</v>
      </c>
      <c r="L4" s="75">
        <v>1932</v>
      </c>
      <c r="M4" s="75">
        <v>1936</v>
      </c>
      <c r="N4" s="75">
        <v>1948</v>
      </c>
      <c r="O4" s="75">
        <v>1952</v>
      </c>
      <c r="P4" s="75">
        <v>1956</v>
      </c>
      <c r="Q4" s="75">
        <v>1960</v>
      </c>
      <c r="R4" s="75">
        <v>1964</v>
      </c>
      <c r="S4" s="75">
        <v>1968</v>
      </c>
      <c r="T4" s="75">
        <v>1972</v>
      </c>
      <c r="U4" s="75">
        <v>1976</v>
      </c>
      <c r="V4" s="75">
        <v>1980</v>
      </c>
      <c r="W4" s="75">
        <v>1984</v>
      </c>
      <c r="X4" s="75">
        <v>1988</v>
      </c>
      <c r="Y4" s="75">
        <v>1992</v>
      </c>
      <c r="Z4" s="75">
        <v>1996</v>
      </c>
      <c r="AA4" s="75">
        <v>2000</v>
      </c>
      <c r="AB4" s="75">
        <v>2004</v>
      </c>
      <c r="AC4" s="75">
        <v>2008</v>
      </c>
      <c r="AD4" s="75">
        <v>2012</v>
      </c>
      <c r="AE4" s="75">
        <v>2016</v>
      </c>
      <c r="AF4" s="75">
        <v>2020</v>
      </c>
    </row>
    <row r="5" spans="1:32" s="57" customFormat="1" ht="15.75" customHeight="1">
      <c r="A5" s="1" t="s">
        <v>27</v>
      </c>
      <c r="B5" s="1" t="s">
        <v>28</v>
      </c>
      <c r="C5" s="82">
        <v>1</v>
      </c>
      <c r="D5" s="83">
        <v>11</v>
      </c>
      <c r="E5" s="83">
        <v>100</v>
      </c>
      <c r="F5" s="83">
        <v>0</v>
      </c>
      <c r="G5" s="81">
        <v>0</v>
      </c>
      <c r="H5" s="83">
        <v>14</v>
      </c>
      <c r="I5" s="83">
        <v>41</v>
      </c>
      <c r="J5" s="83">
        <v>38</v>
      </c>
      <c r="K5" s="83">
        <v>21</v>
      </c>
      <c r="L5" s="83">
        <v>19</v>
      </c>
      <c r="M5" s="83">
        <v>19</v>
      </c>
      <c r="N5" s="83">
        <v>29</v>
      </c>
      <c r="O5" s="83">
        <v>18</v>
      </c>
      <c r="P5" s="83">
        <v>14</v>
      </c>
      <c r="Q5" s="83">
        <v>5</v>
      </c>
      <c r="R5" s="83">
        <v>15</v>
      </c>
      <c r="S5" s="83">
        <v>15</v>
      </c>
      <c r="T5" s="83">
        <v>13</v>
      </c>
      <c r="U5" s="83">
        <v>9</v>
      </c>
      <c r="V5" s="83">
        <v>14</v>
      </c>
      <c r="W5" s="83">
        <v>28</v>
      </c>
      <c r="X5" s="83">
        <v>16</v>
      </c>
      <c r="Y5" s="83">
        <v>29</v>
      </c>
      <c r="Z5" s="83">
        <v>37</v>
      </c>
      <c r="AA5" s="83">
        <v>38</v>
      </c>
      <c r="AB5" s="83">
        <v>33</v>
      </c>
      <c r="AC5" s="1">
        <v>40</v>
      </c>
      <c r="AD5" s="1">
        <v>34</v>
      </c>
      <c r="AE5" s="1">
        <v>42</v>
      </c>
      <c r="AF5" s="1">
        <v>33</v>
      </c>
    </row>
    <row r="6" spans="1:32" s="57" customFormat="1" ht="15.75" customHeight="1">
      <c r="A6" s="1" t="s">
        <v>29</v>
      </c>
      <c r="B6" s="1" t="s">
        <v>28</v>
      </c>
      <c r="C6" s="82">
        <v>231</v>
      </c>
      <c r="D6" s="83">
        <v>13</v>
      </c>
      <c r="E6" s="83">
        <v>8</v>
      </c>
      <c r="F6" s="83">
        <v>13</v>
      </c>
      <c r="G6" s="81">
        <v>0</v>
      </c>
      <c r="H6" s="83">
        <v>25</v>
      </c>
      <c r="I6" s="83">
        <v>0</v>
      </c>
      <c r="J6" s="83">
        <v>0</v>
      </c>
      <c r="K6" s="83">
        <v>31</v>
      </c>
      <c r="L6" s="83">
        <v>20</v>
      </c>
      <c r="M6" s="83">
        <v>89</v>
      </c>
      <c r="N6" s="83">
        <v>0</v>
      </c>
      <c r="O6" s="83">
        <v>24</v>
      </c>
      <c r="P6" s="83">
        <v>0</v>
      </c>
      <c r="Q6" s="83">
        <v>0</v>
      </c>
      <c r="R6" s="83">
        <v>0</v>
      </c>
      <c r="S6" s="83">
        <v>0</v>
      </c>
      <c r="T6" s="83">
        <v>0</v>
      </c>
      <c r="U6" s="83">
        <v>0</v>
      </c>
      <c r="V6" s="83">
        <v>0</v>
      </c>
      <c r="W6" s="83">
        <v>0</v>
      </c>
      <c r="X6" s="83">
        <v>0</v>
      </c>
      <c r="Y6" s="83">
        <v>82</v>
      </c>
      <c r="Z6" s="83">
        <v>65</v>
      </c>
      <c r="AA6" s="83">
        <v>56</v>
      </c>
      <c r="AB6" s="83">
        <v>48</v>
      </c>
      <c r="AC6" s="1">
        <v>41</v>
      </c>
      <c r="AD6" s="1">
        <v>44</v>
      </c>
      <c r="AE6" s="1">
        <v>42</v>
      </c>
      <c r="AF6" s="1">
        <v>37</v>
      </c>
    </row>
    <row r="7" spans="1:32" s="57" customFormat="1" ht="15.75" customHeight="1">
      <c r="A7" s="1" t="s">
        <v>30</v>
      </c>
      <c r="B7" s="1" t="s">
        <v>28</v>
      </c>
      <c r="C7" s="82">
        <v>461</v>
      </c>
      <c r="D7" s="83">
        <v>6</v>
      </c>
      <c r="E7" s="83">
        <v>6</v>
      </c>
      <c r="F7" s="83">
        <v>4</v>
      </c>
      <c r="G7" s="81">
        <v>0</v>
      </c>
      <c r="H7" s="83">
        <v>8</v>
      </c>
      <c r="I7" s="83">
        <v>0</v>
      </c>
      <c r="J7" s="83">
        <v>9</v>
      </c>
      <c r="K7" s="83">
        <v>9</v>
      </c>
      <c r="L7" s="83">
        <v>15</v>
      </c>
      <c r="M7" s="83">
        <v>16</v>
      </c>
      <c r="N7" s="83">
        <v>27</v>
      </c>
      <c r="O7" s="83">
        <v>42</v>
      </c>
      <c r="P7" s="83">
        <v>26</v>
      </c>
      <c r="Q7" s="83">
        <v>21</v>
      </c>
      <c r="R7" s="83">
        <v>22</v>
      </c>
      <c r="S7" s="83">
        <v>32</v>
      </c>
      <c r="T7" s="83">
        <v>35</v>
      </c>
      <c r="U7" s="83">
        <v>22</v>
      </c>
      <c r="V7" s="83">
        <v>32</v>
      </c>
      <c r="W7" s="83">
        <v>0</v>
      </c>
      <c r="X7" s="83">
        <v>23</v>
      </c>
      <c r="Y7" s="83">
        <v>30</v>
      </c>
      <c r="Z7" s="83">
        <v>21</v>
      </c>
      <c r="AA7" s="83">
        <v>17</v>
      </c>
      <c r="AB7" s="83">
        <v>17</v>
      </c>
      <c r="AC7" s="1">
        <v>10</v>
      </c>
      <c r="AD7" s="1">
        <v>17</v>
      </c>
      <c r="AE7" s="1">
        <v>15</v>
      </c>
      <c r="AF7" s="1">
        <v>7</v>
      </c>
    </row>
    <row r="8" spans="1:32" s="57" customFormat="1" ht="15.75" customHeight="1">
      <c r="A8" s="1" t="s">
        <v>31</v>
      </c>
      <c r="B8" s="1" t="s">
        <v>28</v>
      </c>
      <c r="C8" s="82">
        <v>691</v>
      </c>
      <c r="D8" s="83">
        <v>46</v>
      </c>
      <c r="E8" s="83">
        <v>0</v>
      </c>
      <c r="F8" s="83">
        <v>2</v>
      </c>
      <c r="G8" s="81">
        <v>0</v>
      </c>
      <c r="H8" s="83">
        <v>2</v>
      </c>
      <c r="I8" s="83">
        <v>1</v>
      </c>
      <c r="J8" s="83">
        <v>0</v>
      </c>
      <c r="K8" s="83">
        <v>0</v>
      </c>
      <c r="L8" s="83">
        <v>0</v>
      </c>
      <c r="M8" s="83">
        <v>0</v>
      </c>
      <c r="N8" s="83">
        <v>0</v>
      </c>
      <c r="O8" s="83">
        <v>0</v>
      </c>
      <c r="P8" s="83">
        <v>1</v>
      </c>
      <c r="Q8" s="83">
        <v>1</v>
      </c>
      <c r="R8" s="83">
        <v>0</v>
      </c>
      <c r="S8" s="83">
        <v>1</v>
      </c>
      <c r="T8" s="83">
        <v>2</v>
      </c>
      <c r="U8" s="83">
        <v>0</v>
      </c>
      <c r="V8" s="83">
        <v>3</v>
      </c>
      <c r="W8" s="83">
        <v>2</v>
      </c>
      <c r="X8" s="83">
        <v>1</v>
      </c>
      <c r="Y8" s="83">
        <v>2</v>
      </c>
      <c r="Z8" s="83">
        <v>8</v>
      </c>
      <c r="AA8" s="83">
        <v>13</v>
      </c>
      <c r="AB8" s="83">
        <v>16</v>
      </c>
      <c r="AC8" s="1">
        <v>4</v>
      </c>
      <c r="AD8" s="1">
        <v>2</v>
      </c>
      <c r="AE8" s="1">
        <v>6</v>
      </c>
      <c r="AF8" s="1">
        <v>4</v>
      </c>
    </row>
    <row r="9" spans="1:32" s="57" customFormat="1" ht="15.75" customHeight="1">
      <c r="A9" s="1" t="s">
        <v>32</v>
      </c>
      <c r="B9" s="1" t="s">
        <v>33</v>
      </c>
      <c r="C9" s="82">
        <v>921</v>
      </c>
      <c r="D9" s="83">
        <v>2</v>
      </c>
      <c r="E9" s="83">
        <v>5</v>
      </c>
      <c r="F9" s="83">
        <v>0</v>
      </c>
      <c r="G9" s="81">
        <v>0</v>
      </c>
      <c r="H9" s="83">
        <v>7</v>
      </c>
      <c r="I9" s="83">
        <v>3</v>
      </c>
      <c r="J9" s="83">
        <v>6</v>
      </c>
      <c r="K9" s="83">
        <v>4</v>
      </c>
      <c r="L9" s="83">
        <v>5</v>
      </c>
      <c r="M9" s="83">
        <v>1</v>
      </c>
      <c r="N9" s="83">
        <v>13</v>
      </c>
      <c r="O9" s="83">
        <v>11</v>
      </c>
      <c r="P9" s="83">
        <v>35</v>
      </c>
      <c r="Q9" s="83">
        <v>22</v>
      </c>
      <c r="R9" s="83">
        <v>18</v>
      </c>
      <c r="S9" s="83">
        <v>17</v>
      </c>
      <c r="T9" s="83">
        <v>17</v>
      </c>
      <c r="U9" s="83">
        <v>5</v>
      </c>
      <c r="V9" s="83">
        <v>9</v>
      </c>
      <c r="W9" s="83">
        <v>24</v>
      </c>
      <c r="X9" s="83">
        <v>14</v>
      </c>
      <c r="Y9" s="83">
        <v>27</v>
      </c>
      <c r="Z9" s="83">
        <v>41</v>
      </c>
      <c r="AA9" s="83">
        <v>58</v>
      </c>
      <c r="AB9" s="83">
        <v>49</v>
      </c>
      <c r="AC9" s="1">
        <v>46</v>
      </c>
      <c r="AD9" s="1">
        <v>35</v>
      </c>
      <c r="AE9" s="1">
        <v>29</v>
      </c>
      <c r="AF9" s="1">
        <v>46</v>
      </c>
    </row>
    <row r="10" spans="1:32" s="57" customFormat="1" ht="15.75" customHeight="1">
      <c r="A10" s="1" t="s">
        <v>34</v>
      </c>
      <c r="B10" s="1" t="s">
        <v>28</v>
      </c>
      <c r="C10" s="82">
        <v>1859</v>
      </c>
      <c r="D10" s="83">
        <v>6</v>
      </c>
      <c r="E10" s="83">
        <v>6</v>
      </c>
      <c r="F10" s="83">
        <v>0</v>
      </c>
      <c r="G10" s="81">
        <v>0</v>
      </c>
      <c r="H10" s="83">
        <v>12</v>
      </c>
      <c r="I10" s="83">
        <v>13</v>
      </c>
      <c r="J10" s="83">
        <v>9</v>
      </c>
      <c r="K10" s="83">
        <v>6</v>
      </c>
      <c r="L10" s="83">
        <v>6</v>
      </c>
      <c r="M10" s="83">
        <v>5</v>
      </c>
      <c r="N10" s="83">
        <v>20</v>
      </c>
      <c r="O10" s="83">
        <v>6</v>
      </c>
      <c r="P10" s="83">
        <v>4</v>
      </c>
      <c r="Q10" s="83">
        <v>6</v>
      </c>
      <c r="R10" s="83">
        <v>6</v>
      </c>
      <c r="S10" s="83">
        <v>8</v>
      </c>
      <c r="T10" s="83">
        <v>1</v>
      </c>
      <c r="U10" s="83">
        <v>3</v>
      </c>
      <c r="V10" s="83">
        <v>5</v>
      </c>
      <c r="W10" s="83">
        <v>6</v>
      </c>
      <c r="X10" s="83">
        <v>3</v>
      </c>
      <c r="Y10" s="83">
        <v>6</v>
      </c>
      <c r="Z10" s="83">
        <v>6</v>
      </c>
      <c r="AA10" s="83">
        <v>6</v>
      </c>
      <c r="AB10" s="83">
        <v>8</v>
      </c>
      <c r="AC10" s="1">
        <v>7</v>
      </c>
      <c r="AD10" s="1">
        <v>9</v>
      </c>
      <c r="AE10" s="1">
        <v>15</v>
      </c>
      <c r="AF10" s="1">
        <v>11</v>
      </c>
    </row>
    <row r="11" spans="1:32" s="57" customFormat="1" ht="15.75" customHeight="1">
      <c r="A11" s="1" t="s">
        <v>35</v>
      </c>
      <c r="B11" s="1" t="s">
        <v>28</v>
      </c>
      <c r="C11" s="82">
        <v>1859</v>
      </c>
      <c r="D11" s="83">
        <v>7</v>
      </c>
      <c r="E11" s="83">
        <v>30</v>
      </c>
      <c r="F11" s="83">
        <v>2</v>
      </c>
      <c r="G11" s="81">
        <v>145</v>
      </c>
      <c r="H11" s="83">
        <v>41</v>
      </c>
      <c r="I11" s="83">
        <v>44</v>
      </c>
      <c r="J11" s="83">
        <v>34</v>
      </c>
      <c r="K11" s="83">
        <v>20</v>
      </c>
      <c r="L11" s="83">
        <v>16</v>
      </c>
      <c r="M11" s="83">
        <v>14</v>
      </c>
      <c r="N11" s="83">
        <v>23</v>
      </c>
      <c r="O11" s="83">
        <v>11</v>
      </c>
      <c r="P11" s="83">
        <v>24</v>
      </c>
      <c r="Q11" s="83">
        <v>20</v>
      </c>
      <c r="R11" s="83">
        <v>18</v>
      </c>
      <c r="S11" s="83">
        <v>13</v>
      </c>
      <c r="T11" s="83">
        <v>18</v>
      </c>
      <c r="U11" s="83">
        <v>13</v>
      </c>
      <c r="V11" s="83">
        <v>21</v>
      </c>
      <c r="W11" s="83">
        <v>37</v>
      </c>
      <c r="X11" s="83">
        <v>24</v>
      </c>
      <c r="Y11" s="83">
        <v>20</v>
      </c>
      <c r="Z11" s="83">
        <v>15</v>
      </c>
      <c r="AA11" s="83">
        <v>28</v>
      </c>
      <c r="AB11" s="83">
        <v>30</v>
      </c>
      <c r="AC11" s="1">
        <v>47</v>
      </c>
      <c r="AD11" s="1">
        <v>65</v>
      </c>
      <c r="AE11" s="1">
        <v>67</v>
      </c>
      <c r="AF11" s="1">
        <v>64</v>
      </c>
    </row>
    <row r="12" spans="1:32" s="57" customFormat="1" ht="15.75" customHeight="1">
      <c r="A12" s="1" t="s">
        <v>36</v>
      </c>
      <c r="B12" s="1" t="s">
        <v>37</v>
      </c>
      <c r="C12" s="82">
        <v>1894</v>
      </c>
      <c r="D12" s="83">
        <v>20</v>
      </c>
      <c r="E12" s="83">
        <v>47</v>
      </c>
      <c r="F12" s="83">
        <v>236</v>
      </c>
      <c r="G12" s="81">
        <v>47</v>
      </c>
      <c r="H12" s="83">
        <v>63</v>
      </c>
      <c r="I12" s="83">
        <v>95</v>
      </c>
      <c r="J12" s="83">
        <v>99</v>
      </c>
      <c r="K12" s="83">
        <v>56</v>
      </c>
      <c r="L12" s="83">
        <v>103</v>
      </c>
      <c r="M12" s="83">
        <v>56</v>
      </c>
      <c r="N12" s="83">
        <v>84</v>
      </c>
      <c r="O12" s="83">
        <v>76</v>
      </c>
      <c r="P12" s="83">
        <v>74</v>
      </c>
      <c r="Q12" s="83">
        <v>71</v>
      </c>
      <c r="R12" s="83">
        <v>90</v>
      </c>
      <c r="S12" s="83">
        <v>107</v>
      </c>
      <c r="T12" s="83">
        <v>94</v>
      </c>
      <c r="U12" s="83">
        <v>94</v>
      </c>
      <c r="V12" s="83">
        <v>0</v>
      </c>
      <c r="W12" s="83">
        <v>174</v>
      </c>
      <c r="X12" s="83">
        <v>94</v>
      </c>
      <c r="Y12" s="83">
        <v>108</v>
      </c>
      <c r="Z12" s="83">
        <v>101</v>
      </c>
      <c r="AA12" s="83">
        <v>97</v>
      </c>
      <c r="AB12" s="83">
        <v>103</v>
      </c>
      <c r="AC12" s="1">
        <v>110</v>
      </c>
      <c r="AD12" s="1">
        <v>104</v>
      </c>
      <c r="AE12" s="1">
        <v>121</v>
      </c>
      <c r="AF12" s="1">
        <v>113</v>
      </c>
    </row>
    <row r="13" spans="1:32" s="57" customFormat="1" ht="15.75" customHeight="1">
      <c r="A13" s="1" t="s">
        <v>38</v>
      </c>
      <c r="B13" s="1" t="s">
        <v>28</v>
      </c>
      <c r="C13" s="82">
        <v>2224</v>
      </c>
      <c r="D13" s="83">
        <v>0</v>
      </c>
      <c r="E13" s="83">
        <v>15</v>
      </c>
      <c r="F13" s="83">
        <v>0</v>
      </c>
      <c r="G13" s="81">
        <v>0</v>
      </c>
      <c r="H13" s="83">
        <v>6</v>
      </c>
      <c r="I13" s="83">
        <v>36</v>
      </c>
      <c r="J13" s="83">
        <v>13</v>
      </c>
      <c r="K13" s="83">
        <v>3</v>
      </c>
      <c r="L13" s="83">
        <v>0</v>
      </c>
      <c r="M13" s="83">
        <v>2</v>
      </c>
      <c r="N13" s="83">
        <v>7</v>
      </c>
      <c r="O13" s="83">
        <v>4</v>
      </c>
      <c r="P13" s="83">
        <v>2</v>
      </c>
      <c r="Q13" s="83">
        <v>4</v>
      </c>
      <c r="R13" s="83">
        <v>3</v>
      </c>
      <c r="S13" s="83">
        <v>2</v>
      </c>
      <c r="T13" s="83">
        <v>2</v>
      </c>
      <c r="U13" s="83">
        <v>6</v>
      </c>
      <c r="V13" s="83">
        <v>1</v>
      </c>
      <c r="W13" s="83">
        <v>4</v>
      </c>
      <c r="X13" s="83">
        <v>2</v>
      </c>
      <c r="Y13" s="83">
        <v>3</v>
      </c>
      <c r="Z13" s="83">
        <v>6</v>
      </c>
      <c r="AA13" s="83">
        <v>5</v>
      </c>
      <c r="AB13" s="83">
        <v>3</v>
      </c>
      <c r="AC13" s="1">
        <v>2</v>
      </c>
      <c r="AD13" s="1">
        <v>3</v>
      </c>
      <c r="AE13" s="1">
        <v>6</v>
      </c>
      <c r="AF13" s="1">
        <v>7</v>
      </c>
    </row>
    <row r="14" spans="1:32" s="57" customFormat="1" ht="15.75" customHeight="1">
      <c r="A14" s="1" t="s">
        <v>39</v>
      </c>
      <c r="B14" s="1" t="s">
        <v>37</v>
      </c>
      <c r="C14" s="82">
        <v>2589</v>
      </c>
      <c r="D14" s="83">
        <v>0</v>
      </c>
      <c r="E14" s="83">
        <v>2</v>
      </c>
      <c r="F14" s="83">
        <v>6</v>
      </c>
      <c r="G14" s="81">
        <v>0</v>
      </c>
      <c r="H14" s="83">
        <v>8</v>
      </c>
      <c r="I14" s="83">
        <v>9</v>
      </c>
      <c r="J14" s="83">
        <v>4</v>
      </c>
      <c r="K14" s="83">
        <v>15</v>
      </c>
      <c r="L14" s="83">
        <v>15</v>
      </c>
      <c r="M14" s="83">
        <v>9</v>
      </c>
      <c r="N14" s="83">
        <v>3</v>
      </c>
      <c r="O14" s="83">
        <v>3</v>
      </c>
      <c r="P14" s="83">
        <v>6</v>
      </c>
      <c r="Q14" s="83">
        <v>1</v>
      </c>
      <c r="R14" s="83">
        <v>4</v>
      </c>
      <c r="S14" s="83">
        <v>5</v>
      </c>
      <c r="T14" s="83">
        <v>5</v>
      </c>
      <c r="U14" s="83">
        <v>11</v>
      </c>
      <c r="V14" s="83">
        <v>0</v>
      </c>
      <c r="W14" s="83">
        <v>44</v>
      </c>
      <c r="X14" s="83">
        <v>10</v>
      </c>
      <c r="Y14" s="83">
        <v>18</v>
      </c>
      <c r="Z14" s="83">
        <v>22</v>
      </c>
      <c r="AA14" s="83">
        <v>14</v>
      </c>
      <c r="AB14" s="83">
        <v>12</v>
      </c>
      <c r="AC14" s="1">
        <v>18</v>
      </c>
      <c r="AD14" s="1">
        <v>18</v>
      </c>
      <c r="AE14" s="1">
        <v>22</v>
      </c>
      <c r="AF14" s="1">
        <v>24</v>
      </c>
    </row>
    <row r="15" spans="1:32" s="57" customFormat="1" ht="15.75" customHeight="1">
      <c r="A15" s="1" t="s">
        <v>40</v>
      </c>
      <c r="B15" s="1" t="s">
        <v>28</v>
      </c>
      <c r="C15" s="82">
        <v>2589</v>
      </c>
      <c r="D15" s="83">
        <v>0</v>
      </c>
      <c r="E15" s="83">
        <v>0</v>
      </c>
      <c r="F15" s="83">
        <v>0</v>
      </c>
      <c r="G15" s="81">
        <v>0</v>
      </c>
      <c r="H15" s="83">
        <v>26</v>
      </c>
      <c r="I15" s="83">
        <v>34</v>
      </c>
      <c r="J15" s="83">
        <v>37</v>
      </c>
      <c r="K15" s="83">
        <v>25</v>
      </c>
      <c r="L15" s="83">
        <v>25</v>
      </c>
      <c r="M15" s="83">
        <v>19</v>
      </c>
      <c r="N15" s="83">
        <v>20</v>
      </c>
      <c r="O15" s="83">
        <v>22</v>
      </c>
      <c r="P15" s="83">
        <v>15</v>
      </c>
      <c r="Q15" s="83">
        <v>5</v>
      </c>
      <c r="R15" s="83">
        <v>5</v>
      </c>
      <c r="S15" s="83">
        <v>4</v>
      </c>
      <c r="T15" s="83">
        <v>8</v>
      </c>
      <c r="U15" s="83">
        <v>6</v>
      </c>
      <c r="V15" s="83">
        <v>8</v>
      </c>
      <c r="W15" s="83">
        <v>12</v>
      </c>
      <c r="X15" s="83">
        <v>4</v>
      </c>
      <c r="Y15" s="83">
        <v>5</v>
      </c>
      <c r="Z15" s="83">
        <v>4</v>
      </c>
      <c r="AA15" s="83">
        <v>4</v>
      </c>
      <c r="AB15" s="83">
        <v>2</v>
      </c>
      <c r="AC15" s="1">
        <v>4</v>
      </c>
      <c r="AD15" s="1">
        <v>3</v>
      </c>
      <c r="AE15" s="1">
        <v>1</v>
      </c>
      <c r="AF15" s="1">
        <v>2</v>
      </c>
    </row>
    <row r="16" spans="1:32" s="57" customFormat="1" ht="15.75" customHeight="1">
      <c r="A16" s="1" t="s">
        <v>41</v>
      </c>
      <c r="B16" s="1" t="s">
        <v>28</v>
      </c>
      <c r="C16" s="82">
        <v>3358</v>
      </c>
      <c r="D16" s="83">
        <v>0</v>
      </c>
      <c r="E16" s="83">
        <v>0</v>
      </c>
      <c r="F16" s="83">
        <v>0</v>
      </c>
      <c r="G16" s="81">
        <v>0</v>
      </c>
      <c r="H16" s="83">
        <v>0</v>
      </c>
      <c r="I16" s="83">
        <v>0</v>
      </c>
      <c r="J16" s="83">
        <v>1</v>
      </c>
      <c r="K16" s="83">
        <v>1</v>
      </c>
      <c r="L16" s="83">
        <v>0</v>
      </c>
      <c r="M16" s="83">
        <v>1</v>
      </c>
      <c r="N16" s="83">
        <v>2</v>
      </c>
      <c r="O16" s="83">
        <v>1</v>
      </c>
      <c r="P16" s="83">
        <v>0</v>
      </c>
      <c r="Q16" s="83">
        <v>1</v>
      </c>
      <c r="R16" s="83">
        <v>0</v>
      </c>
      <c r="S16" s="83">
        <v>0</v>
      </c>
      <c r="T16" s="83">
        <v>0</v>
      </c>
      <c r="U16" s="83">
        <v>2</v>
      </c>
      <c r="V16" s="83">
        <v>0</v>
      </c>
      <c r="W16" s="83">
        <v>3</v>
      </c>
      <c r="X16" s="83">
        <v>1</v>
      </c>
      <c r="Y16" s="83">
        <v>0</v>
      </c>
      <c r="Z16" s="83">
        <v>2</v>
      </c>
      <c r="AA16" s="83">
        <v>2</v>
      </c>
      <c r="AB16" s="83">
        <v>3</v>
      </c>
      <c r="AC16" s="1">
        <v>2</v>
      </c>
      <c r="AD16" s="1">
        <v>1</v>
      </c>
      <c r="AE16" s="1">
        <v>1</v>
      </c>
      <c r="AF16" s="1">
        <v>4</v>
      </c>
    </row>
    <row r="17" spans="1:32" s="57" customFormat="1" ht="15.75" customHeight="1">
      <c r="A17" s="1" t="s">
        <v>42</v>
      </c>
      <c r="B17" s="1" t="s">
        <v>43</v>
      </c>
      <c r="C17" s="82">
        <v>3786</v>
      </c>
      <c r="D17" s="83">
        <v>0</v>
      </c>
      <c r="E17" s="83">
        <v>0</v>
      </c>
      <c r="F17" s="83">
        <v>0</v>
      </c>
      <c r="G17" s="81">
        <v>0</v>
      </c>
      <c r="H17" s="83">
        <v>0</v>
      </c>
      <c r="I17" s="83">
        <v>0</v>
      </c>
      <c r="J17" s="83">
        <v>0</v>
      </c>
      <c r="K17" s="83">
        <v>4</v>
      </c>
      <c r="L17" s="83">
        <v>0</v>
      </c>
      <c r="M17" s="83">
        <v>5</v>
      </c>
      <c r="N17" s="83">
        <v>5</v>
      </c>
      <c r="O17" s="83">
        <v>1</v>
      </c>
      <c r="P17" s="83">
        <v>0</v>
      </c>
      <c r="Q17" s="83">
        <v>2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1</v>
      </c>
      <c r="X17" s="83">
        <v>0</v>
      </c>
      <c r="Y17" s="83">
        <v>0</v>
      </c>
      <c r="Z17" s="83">
        <v>0</v>
      </c>
      <c r="AA17" s="83">
        <v>0</v>
      </c>
      <c r="AB17" s="83">
        <v>5</v>
      </c>
      <c r="AC17" s="1">
        <v>1</v>
      </c>
      <c r="AD17" s="1">
        <v>2</v>
      </c>
      <c r="AE17" s="1">
        <v>3</v>
      </c>
      <c r="AF17" s="1">
        <v>6</v>
      </c>
    </row>
    <row r="18" spans="1:32" s="57" customFormat="1" ht="15.75" customHeight="1">
      <c r="A18" s="1" t="s">
        <v>44</v>
      </c>
      <c r="B18" s="1" t="s">
        <v>28</v>
      </c>
      <c r="C18" s="82">
        <v>4396</v>
      </c>
      <c r="D18" s="83">
        <v>0</v>
      </c>
      <c r="E18" s="83">
        <v>1</v>
      </c>
      <c r="F18" s="83">
        <v>0</v>
      </c>
      <c r="G18" s="81">
        <v>0</v>
      </c>
      <c r="H18" s="83">
        <v>0</v>
      </c>
      <c r="I18" s="83">
        <v>2</v>
      </c>
      <c r="J18" s="83">
        <v>0</v>
      </c>
      <c r="K18" s="83">
        <v>1</v>
      </c>
      <c r="L18" s="83">
        <v>1</v>
      </c>
      <c r="M18" s="83">
        <v>0</v>
      </c>
      <c r="N18" s="83">
        <v>1</v>
      </c>
      <c r="O18" s="83">
        <v>1</v>
      </c>
      <c r="P18" s="83">
        <v>0</v>
      </c>
      <c r="Q18" s="83">
        <v>1</v>
      </c>
      <c r="R18" s="83">
        <v>0</v>
      </c>
      <c r="S18" s="83">
        <v>0</v>
      </c>
      <c r="T18" s="83">
        <v>1</v>
      </c>
      <c r="U18" s="83">
        <v>2</v>
      </c>
      <c r="V18" s="83">
        <v>6</v>
      </c>
      <c r="W18" s="83">
        <v>5</v>
      </c>
      <c r="X18" s="83">
        <v>4</v>
      </c>
      <c r="Y18" s="83">
        <v>22</v>
      </c>
      <c r="Z18" s="83">
        <v>17</v>
      </c>
      <c r="AA18" s="83">
        <v>11</v>
      </c>
      <c r="AB18" s="83">
        <v>19</v>
      </c>
      <c r="AC18" s="1">
        <v>18</v>
      </c>
      <c r="AD18" s="1">
        <v>17</v>
      </c>
      <c r="AE18" s="1">
        <v>17</v>
      </c>
      <c r="AF18" s="1">
        <v>17</v>
      </c>
    </row>
    <row r="19" spans="1:32" s="57" customFormat="1" ht="15.75" customHeight="1">
      <c r="A19" s="1" t="s">
        <v>45</v>
      </c>
      <c r="B19" s="1" t="s">
        <v>28</v>
      </c>
      <c r="C19" s="82">
        <v>4434</v>
      </c>
      <c r="D19" s="83">
        <v>0</v>
      </c>
      <c r="E19" s="83">
        <v>1</v>
      </c>
      <c r="F19" s="83">
        <v>0</v>
      </c>
      <c r="G19" s="81">
        <v>0</v>
      </c>
      <c r="H19" s="83">
        <v>0</v>
      </c>
      <c r="I19" s="83">
        <v>1</v>
      </c>
      <c r="J19" s="83">
        <v>0</v>
      </c>
      <c r="K19" s="83">
        <v>0</v>
      </c>
      <c r="L19" s="83">
        <v>0</v>
      </c>
      <c r="M19" s="83">
        <v>0</v>
      </c>
      <c r="N19" s="83">
        <v>0</v>
      </c>
      <c r="O19" s="83">
        <v>1</v>
      </c>
      <c r="P19" s="83">
        <v>0</v>
      </c>
      <c r="Q19" s="83">
        <v>0</v>
      </c>
      <c r="R19" s="83">
        <v>0</v>
      </c>
      <c r="S19" s="83">
        <v>0</v>
      </c>
      <c r="T19" s="83">
        <v>0</v>
      </c>
      <c r="U19" s="83">
        <v>0</v>
      </c>
      <c r="V19" s="83">
        <v>0</v>
      </c>
      <c r="W19" s="83">
        <v>0</v>
      </c>
      <c r="X19" s="83">
        <v>0</v>
      </c>
      <c r="Y19" s="83">
        <v>0</v>
      </c>
      <c r="Z19" s="83">
        <v>0</v>
      </c>
      <c r="AA19" s="83">
        <v>0</v>
      </c>
      <c r="AB19" s="83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s="57" customFormat="1" ht="15.75" customHeight="1">
      <c r="A20" s="1" t="s">
        <v>46</v>
      </c>
      <c r="B20" s="1" t="s">
        <v>28</v>
      </c>
      <c r="C20" s="82">
        <v>4438</v>
      </c>
      <c r="D20" s="83">
        <v>3</v>
      </c>
      <c r="E20" s="83">
        <v>9</v>
      </c>
      <c r="F20" s="83">
        <v>2</v>
      </c>
      <c r="G20" s="81">
        <v>0</v>
      </c>
      <c r="H20" s="83">
        <v>0</v>
      </c>
      <c r="I20" s="83">
        <v>11</v>
      </c>
      <c r="J20" s="83">
        <v>25</v>
      </c>
      <c r="K20" s="83">
        <v>15</v>
      </c>
      <c r="L20" s="83">
        <v>1</v>
      </c>
      <c r="M20" s="83">
        <v>15</v>
      </c>
      <c r="N20" s="83">
        <v>20</v>
      </c>
      <c r="O20" s="83">
        <v>14</v>
      </c>
      <c r="P20" s="83">
        <v>1</v>
      </c>
      <c r="Q20" s="83">
        <v>6</v>
      </c>
      <c r="R20" s="83">
        <v>4</v>
      </c>
      <c r="S20" s="83">
        <v>5</v>
      </c>
      <c r="T20" s="83">
        <v>3</v>
      </c>
      <c r="U20" s="83">
        <v>4</v>
      </c>
      <c r="V20" s="83">
        <v>2</v>
      </c>
      <c r="W20" s="83">
        <v>8</v>
      </c>
      <c r="X20" s="83">
        <v>4</v>
      </c>
      <c r="Y20" s="83">
        <v>1</v>
      </c>
      <c r="Z20" s="83">
        <v>7</v>
      </c>
      <c r="AA20" s="83">
        <v>9</v>
      </c>
      <c r="AB20" s="83">
        <v>5</v>
      </c>
      <c r="AC20" s="1">
        <v>6</v>
      </c>
      <c r="AD20" s="1">
        <v>4</v>
      </c>
      <c r="AE20" s="1">
        <v>7</v>
      </c>
      <c r="AF20" s="1">
        <v>13</v>
      </c>
    </row>
    <row r="21" spans="1:32" s="57" customFormat="1" ht="15.75" customHeight="1">
      <c r="A21" s="1" t="s">
        <v>47</v>
      </c>
      <c r="B21" s="1" t="s">
        <v>48</v>
      </c>
      <c r="C21" s="82">
        <v>4442</v>
      </c>
      <c r="D21" s="83">
        <v>0</v>
      </c>
      <c r="E21" s="83">
        <v>0</v>
      </c>
      <c r="F21" s="83">
        <v>0</v>
      </c>
      <c r="G21" s="81">
        <v>0</v>
      </c>
      <c r="H21" s="83">
        <v>0</v>
      </c>
      <c r="I21" s="83">
        <v>2</v>
      </c>
      <c r="J21" s="83">
        <v>1</v>
      </c>
      <c r="K21" s="83">
        <v>5</v>
      </c>
      <c r="L21" s="83">
        <v>18</v>
      </c>
      <c r="M21" s="83">
        <v>18</v>
      </c>
      <c r="N21" s="83">
        <v>0</v>
      </c>
      <c r="O21" s="83">
        <v>9</v>
      </c>
      <c r="P21" s="83">
        <v>19</v>
      </c>
      <c r="Q21" s="83">
        <v>18</v>
      </c>
      <c r="R21" s="83">
        <v>29</v>
      </c>
      <c r="S21" s="83">
        <v>25</v>
      </c>
      <c r="T21" s="83">
        <v>29</v>
      </c>
      <c r="U21" s="83">
        <v>25</v>
      </c>
      <c r="V21" s="83">
        <v>0</v>
      </c>
      <c r="W21" s="83">
        <v>32</v>
      </c>
      <c r="X21" s="83">
        <v>14</v>
      </c>
      <c r="Y21" s="83">
        <v>22</v>
      </c>
      <c r="Z21" s="83">
        <v>14</v>
      </c>
      <c r="AA21" s="83">
        <v>18</v>
      </c>
      <c r="AB21" s="83">
        <v>37</v>
      </c>
      <c r="AC21" s="1">
        <v>25</v>
      </c>
      <c r="AD21" s="1">
        <v>38</v>
      </c>
      <c r="AE21" s="1">
        <v>41</v>
      </c>
      <c r="AF21" s="1">
        <v>58</v>
      </c>
    </row>
    <row r="22" spans="1:32" s="57" customFormat="1" ht="15.75" customHeight="1">
      <c r="A22" s="1" t="s">
        <v>49</v>
      </c>
      <c r="B22" s="1" t="s">
        <v>50</v>
      </c>
      <c r="C22" s="82">
        <v>4636</v>
      </c>
      <c r="D22" s="83">
        <v>5</v>
      </c>
      <c r="E22" s="83">
        <v>6</v>
      </c>
      <c r="F22" s="83">
        <v>1</v>
      </c>
      <c r="G22" s="81">
        <v>2</v>
      </c>
      <c r="H22" s="83">
        <v>4</v>
      </c>
      <c r="I22" s="83">
        <v>0</v>
      </c>
      <c r="J22" s="83">
        <v>4</v>
      </c>
      <c r="K22" s="83">
        <v>3</v>
      </c>
      <c r="L22" s="83">
        <v>5</v>
      </c>
      <c r="M22" s="83">
        <v>13</v>
      </c>
      <c r="N22" s="83">
        <v>4</v>
      </c>
      <c r="O22" s="83">
        <v>2</v>
      </c>
      <c r="P22" s="83">
        <v>2</v>
      </c>
      <c r="Q22" s="83">
        <v>2</v>
      </c>
      <c r="R22" s="83">
        <v>0</v>
      </c>
      <c r="S22" s="83">
        <v>4</v>
      </c>
      <c r="T22" s="83">
        <v>3</v>
      </c>
      <c r="U22" s="83">
        <v>1</v>
      </c>
      <c r="V22" s="83">
        <v>4</v>
      </c>
      <c r="W22" s="83">
        <v>3</v>
      </c>
      <c r="X22" s="83">
        <v>1</v>
      </c>
      <c r="Y22" s="83">
        <v>2</v>
      </c>
      <c r="Z22" s="83">
        <v>3</v>
      </c>
      <c r="AA22" s="83">
        <v>3</v>
      </c>
      <c r="AB22" s="83">
        <v>7</v>
      </c>
      <c r="AC22" s="1">
        <v>3</v>
      </c>
      <c r="AD22" s="1">
        <v>0</v>
      </c>
      <c r="AE22" s="1">
        <v>1</v>
      </c>
      <c r="AF22" s="1">
        <v>7</v>
      </c>
    </row>
    <row r="23" spans="1:32" s="57" customFormat="1" ht="15.75" customHeight="1">
      <c r="A23" s="1" t="s">
        <v>51</v>
      </c>
      <c r="B23" s="1" t="s">
        <v>28</v>
      </c>
      <c r="C23" s="82">
        <v>4746</v>
      </c>
      <c r="D23" s="83">
        <v>0</v>
      </c>
      <c r="E23" s="83">
        <v>4</v>
      </c>
      <c r="F23" s="83">
        <v>0</v>
      </c>
      <c r="G23" s="81">
        <v>0</v>
      </c>
      <c r="H23" s="83">
        <v>3</v>
      </c>
      <c r="I23" s="83">
        <v>11</v>
      </c>
      <c r="J23" s="83">
        <v>10</v>
      </c>
      <c r="K23" s="83">
        <v>19</v>
      </c>
      <c r="L23" s="83">
        <v>7</v>
      </c>
      <c r="M23" s="83">
        <v>17</v>
      </c>
      <c r="N23" s="83">
        <v>16</v>
      </c>
      <c r="O23" s="83">
        <v>5</v>
      </c>
      <c r="P23" s="83">
        <v>0</v>
      </c>
      <c r="Q23" s="83">
        <v>3</v>
      </c>
      <c r="R23" s="83">
        <v>10</v>
      </c>
      <c r="S23" s="83">
        <v>7</v>
      </c>
      <c r="T23" s="83">
        <v>5</v>
      </c>
      <c r="U23" s="83">
        <v>5</v>
      </c>
      <c r="V23" s="83">
        <v>3</v>
      </c>
      <c r="W23" s="83">
        <v>13</v>
      </c>
      <c r="X23" s="83">
        <v>9</v>
      </c>
      <c r="Y23" s="83">
        <v>15</v>
      </c>
      <c r="Z23" s="83">
        <v>19</v>
      </c>
      <c r="AA23" s="83">
        <v>25</v>
      </c>
      <c r="AB23" s="83">
        <v>22</v>
      </c>
      <c r="AC23" s="1">
        <v>16</v>
      </c>
      <c r="AD23" s="1">
        <v>20</v>
      </c>
      <c r="AE23" s="1">
        <v>19</v>
      </c>
      <c r="AF23" s="1">
        <v>36</v>
      </c>
    </row>
    <row r="24" spans="1:32" s="57" customFormat="1" ht="15.75" customHeight="1">
      <c r="A24" s="1" t="s">
        <v>52</v>
      </c>
      <c r="B24" s="1" t="s">
        <v>28</v>
      </c>
      <c r="C24" s="82">
        <v>4801</v>
      </c>
      <c r="D24" s="83">
        <v>0</v>
      </c>
      <c r="E24" s="83">
        <v>1</v>
      </c>
      <c r="F24" s="83">
        <v>0</v>
      </c>
      <c r="G24" s="81">
        <v>0</v>
      </c>
      <c r="H24" s="83">
        <v>65</v>
      </c>
      <c r="I24" s="83">
        <v>64</v>
      </c>
      <c r="J24" s="83">
        <v>29</v>
      </c>
      <c r="K24" s="83">
        <v>25</v>
      </c>
      <c r="L24" s="83">
        <v>23</v>
      </c>
      <c r="M24" s="83">
        <v>20</v>
      </c>
      <c r="N24" s="83">
        <v>44</v>
      </c>
      <c r="O24" s="83">
        <v>35</v>
      </c>
      <c r="P24" s="83">
        <v>19</v>
      </c>
      <c r="Q24" s="83">
        <v>6</v>
      </c>
      <c r="R24" s="83">
        <v>8</v>
      </c>
      <c r="S24" s="83">
        <v>4</v>
      </c>
      <c r="T24" s="83">
        <v>16</v>
      </c>
      <c r="U24" s="83">
        <v>5</v>
      </c>
      <c r="V24" s="83">
        <v>12</v>
      </c>
      <c r="W24" s="83">
        <v>19</v>
      </c>
      <c r="X24" s="83">
        <v>11</v>
      </c>
      <c r="Y24" s="83">
        <v>12</v>
      </c>
      <c r="Z24" s="83">
        <v>8</v>
      </c>
      <c r="AA24" s="83">
        <v>12</v>
      </c>
      <c r="AB24" s="83">
        <v>7</v>
      </c>
      <c r="AC24" s="1">
        <v>5</v>
      </c>
      <c r="AD24" s="1">
        <v>8</v>
      </c>
      <c r="AE24" s="1">
        <v>11</v>
      </c>
      <c r="AF24" s="1">
        <v>9</v>
      </c>
    </row>
    <row r="25" spans="1:32" s="57" customFormat="1" ht="15.75" customHeight="1">
      <c r="A25" s="1" t="s">
        <v>53</v>
      </c>
      <c r="B25" s="1" t="s">
        <v>28</v>
      </c>
      <c r="C25" s="82">
        <v>5460</v>
      </c>
      <c r="D25" s="83">
        <v>0</v>
      </c>
      <c r="E25" s="83">
        <v>0</v>
      </c>
      <c r="F25" s="83">
        <v>0</v>
      </c>
      <c r="G25" s="81">
        <v>0</v>
      </c>
      <c r="H25" s="83">
        <v>0</v>
      </c>
      <c r="I25" s="83">
        <v>0</v>
      </c>
      <c r="J25" s="83">
        <v>1</v>
      </c>
      <c r="K25" s="83">
        <v>0</v>
      </c>
      <c r="L25" s="83">
        <v>0</v>
      </c>
      <c r="M25" s="83">
        <v>1</v>
      </c>
      <c r="N25" s="83">
        <v>0</v>
      </c>
      <c r="O25" s="83">
        <v>4</v>
      </c>
      <c r="P25" s="83">
        <v>13</v>
      </c>
      <c r="Q25" s="83">
        <v>10</v>
      </c>
      <c r="R25" s="83">
        <v>12</v>
      </c>
      <c r="S25" s="83">
        <v>15</v>
      </c>
      <c r="T25" s="83">
        <v>16</v>
      </c>
      <c r="U25" s="83">
        <v>27</v>
      </c>
      <c r="V25" s="83">
        <v>25</v>
      </c>
      <c r="W25" s="83">
        <v>53</v>
      </c>
      <c r="X25" s="83">
        <v>24</v>
      </c>
      <c r="Y25" s="83">
        <v>18</v>
      </c>
      <c r="Z25" s="83">
        <v>20</v>
      </c>
      <c r="AA25" s="83">
        <v>25</v>
      </c>
      <c r="AB25" s="83">
        <v>19</v>
      </c>
      <c r="AC25" s="1">
        <v>8</v>
      </c>
      <c r="AD25" s="1">
        <v>9</v>
      </c>
      <c r="AE25" s="1">
        <v>5</v>
      </c>
      <c r="AF25" s="1">
        <v>4</v>
      </c>
    </row>
    <row r="26" spans="1:32" s="57" customFormat="1" ht="15.75" customHeight="1">
      <c r="A26" s="1" t="s">
        <v>54</v>
      </c>
      <c r="B26" s="1" t="s">
        <v>28</v>
      </c>
      <c r="C26" s="82">
        <v>5494</v>
      </c>
      <c r="D26" s="83">
        <v>0</v>
      </c>
      <c r="E26" s="83">
        <v>3</v>
      </c>
      <c r="F26" s="83">
        <v>0</v>
      </c>
      <c r="G26" s="81">
        <v>0</v>
      </c>
      <c r="H26" s="83">
        <v>6</v>
      </c>
      <c r="I26" s="83">
        <v>23</v>
      </c>
      <c r="J26" s="83">
        <v>16</v>
      </c>
      <c r="K26" s="83">
        <v>19</v>
      </c>
      <c r="L26" s="83">
        <v>36</v>
      </c>
      <c r="M26" s="83">
        <v>22</v>
      </c>
      <c r="N26" s="83">
        <v>27</v>
      </c>
      <c r="O26" s="83">
        <v>21</v>
      </c>
      <c r="P26" s="83">
        <v>25</v>
      </c>
      <c r="Q26" s="83">
        <v>36</v>
      </c>
      <c r="R26" s="83">
        <v>27</v>
      </c>
      <c r="S26" s="83">
        <v>16</v>
      </c>
      <c r="T26" s="83">
        <v>18</v>
      </c>
      <c r="U26" s="83">
        <v>13</v>
      </c>
      <c r="V26" s="83">
        <v>15</v>
      </c>
      <c r="W26" s="83">
        <v>32</v>
      </c>
      <c r="X26" s="83">
        <v>14</v>
      </c>
      <c r="Y26" s="83">
        <v>19</v>
      </c>
      <c r="Z26" s="83">
        <v>35</v>
      </c>
      <c r="AA26" s="83">
        <v>34</v>
      </c>
      <c r="AB26" s="83">
        <v>32</v>
      </c>
      <c r="AC26" s="1">
        <v>28</v>
      </c>
      <c r="AD26" s="1">
        <v>28</v>
      </c>
      <c r="AE26" s="1">
        <v>28</v>
      </c>
      <c r="AF26" s="1">
        <v>40</v>
      </c>
    </row>
    <row r="27" spans="1:32" s="57" customFormat="1" ht="15.75" customHeight="1">
      <c r="A27" s="1" t="s">
        <v>55</v>
      </c>
      <c r="B27" s="1" t="s">
        <v>28</v>
      </c>
      <c r="C27" s="82">
        <v>6962</v>
      </c>
      <c r="D27" s="83">
        <v>0</v>
      </c>
      <c r="E27" s="83">
        <v>0</v>
      </c>
      <c r="F27" s="83">
        <v>0</v>
      </c>
      <c r="G27" s="81">
        <v>0</v>
      </c>
      <c r="H27" s="83">
        <v>0</v>
      </c>
      <c r="I27" s="83">
        <v>0</v>
      </c>
      <c r="J27" s="83">
        <v>2</v>
      </c>
      <c r="K27" s="83">
        <v>5</v>
      </c>
      <c r="L27" s="83">
        <v>7</v>
      </c>
      <c r="M27" s="83">
        <v>3</v>
      </c>
      <c r="N27" s="83">
        <v>1</v>
      </c>
      <c r="O27" s="83">
        <v>4</v>
      </c>
      <c r="P27" s="83">
        <v>9</v>
      </c>
      <c r="Q27" s="83">
        <v>21</v>
      </c>
      <c r="R27" s="83">
        <v>23</v>
      </c>
      <c r="S27" s="83">
        <v>18</v>
      </c>
      <c r="T27" s="83">
        <v>21</v>
      </c>
      <c r="U27" s="83">
        <v>26</v>
      </c>
      <c r="V27" s="83">
        <v>32</v>
      </c>
      <c r="W27" s="83">
        <v>0</v>
      </c>
      <c r="X27" s="83">
        <v>16</v>
      </c>
      <c r="Y27" s="83">
        <v>19</v>
      </c>
      <c r="Z27" s="83">
        <v>17</v>
      </c>
      <c r="AA27" s="83">
        <v>14</v>
      </c>
      <c r="AB27" s="83">
        <v>10</v>
      </c>
      <c r="AC27" s="1">
        <v>10</v>
      </c>
      <c r="AD27" s="1">
        <v>10</v>
      </c>
      <c r="AE27" s="1">
        <v>11</v>
      </c>
      <c r="AF27" s="1">
        <v>14</v>
      </c>
    </row>
    <row r="28" spans="1:32" s="57" customFormat="1" ht="15.75" customHeight="1">
      <c r="A28" s="1" t="s">
        <v>56</v>
      </c>
      <c r="B28" s="1" t="s">
        <v>28</v>
      </c>
      <c r="C28" s="82">
        <v>8138</v>
      </c>
      <c r="D28" s="83">
        <v>0</v>
      </c>
      <c r="E28" s="83">
        <v>0</v>
      </c>
      <c r="F28" s="83">
        <v>0</v>
      </c>
      <c r="G28" s="81">
        <v>0</v>
      </c>
      <c r="H28" s="83">
        <v>0</v>
      </c>
      <c r="I28" s="83">
        <v>0</v>
      </c>
      <c r="J28" s="83">
        <v>0</v>
      </c>
      <c r="K28" s="83">
        <v>1</v>
      </c>
      <c r="L28" s="83">
        <v>2</v>
      </c>
      <c r="M28" s="83">
        <v>0</v>
      </c>
      <c r="N28" s="83">
        <v>0</v>
      </c>
      <c r="O28" s="83">
        <v>1</v>
      </c>
      <c r="P28" s="83">
        <v>5</v>
      </c>
      <c r="Q28" s="83">
        <v>0</v>
      </c>
      <c r="R28" s="83">
        <v>1</v>
      </c>
      <c r="S28" s="83">
        <v>0</v>
      </c>
      <c r="T28" s="83">
        <v>0</v>
      </c>
      <c r="U28" s="83">
        <v>0</v>
      </c>
      <c r="V28" s="83">
        <v>2</v>
      </c>
      <c r="W28" s="83">
        <v>1</v>
      </c>
      <c r="X28" s="83">
        <v>0</v>
      </c>
      <c r="Y28" s="83">
        <v>2</v>
      </c>
      <c r="Z28" s="83">
        <v>4</v>
      </c>
      <c r="AA28" s="83">
        <v>1</v>
      </c>
      <c r="AB28" s="83">
        <v>1</v>
      </c>
      <c r="AC28" s="1">
        <v>3</v>
      </c>
      <c r="AD28" s="1">
        <v>5</v>
      </c>
      <c r="AE28" s="1">
        <v>2</v>
      </c>
      <c r="AF28" s="1">
        <v>4</v>
      </c>
    </row>
    <row r="29" spans="1:32" s="57" customFormat="1" ht="15.75" customHeight="1">
      <c r="A29" s="1" t="s">
        <v>57</v>
      </c>
      <c r="B29" s="1" t="s">
        <v>58</v>
      </c>
      <c r="C29" s="82">
        <v>8422</v>
      </c>
      <c r="D29" s="83">
        <v>0</v>
      </c>
      <c r="E29" s="83">
        <v>0</v>
      </c>
      <c r="F29" s="83">
        <v>0</v>
      </c>
      <c r="G29" s="81">
        <v>0</v>
      </c>
      <c r="H29" s="83">
        <v>0</v>
      </c>
      <c r="I29" s="83">
        <v>0</v>
      </c>
      <c r="J29" s="83">
        <v>6</v>
      </c>
      <c r="K29" s="83">
        <v>7</v>
      </c>
      <c r="L29" s="83">
        <v>4</v>
      </c>
      <c r="M29" s="83">
        <v>7</v>
      </c>
      <c r="N29" s="83">
        <v>7</v>
      </c>
      <c r="O29" s="83">
        <v>5</v>
      </c>
      <c r="P29" s="83">
        <v>2</v>
      </c>
      <c r="Q29" s="83">
        <v>2</v>
      </c>
      <c r="R29" s="83">
        <v>1</v>
      </c>
      <c r="S29" s="83">
        <v>2</v>
      </c>
      <c r="T29" s="83">
        <v>1</v>
      </c>
      <c r="U29" s="83">
        <v>0</v>
      </c>
      <c r="V29" s="83">
        <v>0</v>
      </c>
      <c r="W29" s="83">
        <v>0</v>
      </c>
      <c r="X29" s="83">
        <v>2</v>
      </c>
      <c r="Y29" s="83">
        <v>1</v>
      </c>
      <c r="Z29" s="83">
        <v>3</v>
      </c>
      <c r="AA29" s="83">
        <v>2</v>
      </c>
      <c r="AB29" s="83">
        <v>6</v>
      </c>
      <c r="AC29" s="1">
        <v>6</v>
      </c>
      <c r="AD29" s="1">
        <v>4</v>
      </c>
      <c r="AE29" s="1">
        <v>4</v>
      </c>
      <c r="AF29" s="1">
        <v>3</v>
      </c>
    </row>
    <row r="30" spans="1:32" s="57" customFormat="1" ht="15.75" customHeight="1">
      <c r="A30" s="1" t="s">
        <v>14</v>
      </c>
      <c r="B30" s="1" t="s">
        <v>59</v>
      </c>
      <c r="C30" s="82">
        <v>8683</v>
      </c>
      <c r="D30" s="83">
        <v>0</v>
      </c>
      <c r="E30" s="83">
        <v>1</v>
      </c>
      <c r="F30" s="83">
        <v>0</v>
      </c>
      <c r="G30" s="81">
        <v>0</v>
      </c>
      <c r="H30" s="83">
        <v>0</v>
      </c>
      <c r="I30" s="83">
        <v>0</v>
      </c>
      <c r="J30" s="83">
        <v>0</v>
      </c>
      <c r="K30" s="83">
        <v>0</v>
      </c>
      <c r="L30" s="83">
        <v>2</v>
      </c>
      <c r="M30" s="83">
        <v>3</v>
      </c>
      <c r="N30" s="83">
        <v>5</v>
      </c>
      <c r="O30" s="83">
        <v>1</v>
      </c>
      <c r="P30" s="83">
        <v>2</v>
      </c>
      <c r="Q30" s="83">
        <v>1</v>
      </c>
      <c r="R30" s="83">
        <v>1</v>
      </c>
      <c r="S30" s="83">
        <v>9</v>
      </c>
      <c r="T30" s="83">
        <v>1</v>
      </c>
      <c r="U30" s="83">
        <v>2</v>
      </c>
      <c r="V30" s="83">
        <v>4</v>
      </c>
      <c r="W30" s="83">
        <v>6</v>
      </c>
      <c r="X30" s="83">
        <v>2</v>
      </c>
      <c r="Y30" s="83">
        <v>1</v>
      </c>
      <c r="Z30" s="83">
        <v>1</v>
      </c>
      <c r="AA30" s="83">
        <v>6</v>
      </c>
      <c r="AB30" s="83">
        <v>4</v>
      </c>
      <c r="AC30" s="1">
        <v>3</v>
      </c>
      <c r="AD30" s="1">
        <v>7</v>
      </c>
      <c r="AE30" s="1">
        <v>5</v>
      </c>
      <c r="AF30" s="1">
        <v>4</v>
      </c>
    </row>
    <row r="31" spans="1:32" s="57" customFormat="1" ht="15.75" customHeight="1">
      <c r="A31" s="1" t="s">
        <v>60</v>
      </c>
      <c r="B31" s="1" t="s">
        <v>28</v>
      </c>
      <c r="C31" s="82">
        <v>8921</v>
      </c>
      <c r="D31" s="83">
        <v>0</v>
      </c>
      <c r="E31" s="83">
        <v>0</v>
      </c>
      <c r="F31" s="83">
        <v>0</v>
      </c>
      <c r="G31" s="81">
        <v>0</v>
      </c>
      <c r="H31" s="83">
        <v>0</v>
      </c>
      <c r="I31" s="83">
        <v>0</v>
      </c>
      <c r="J31" s="83">
        <v>0</v>
      </c>
      <c r="K31" s="83">
        <v>0</v>
      </c>
      <c r="L31" s="83">
        <v>0</v>
      </c>
      <c r="M31" s="83">
        <v>0</v>
      </c>
      <c r="N31" s="83">
        <v>0</v>
      </c>
      <c r="O31" s="83">
        <v>1</v>
      </c>
      <c r="P31" s="83">
        <v>5</v>
      </c>
      <c r="Q31" s="83">
        <v>7</v>
      </c>
      <c r="R31" s="83">
        <v>10</v>
      </c>
      <c r="S31" s="83">
        <v>9</v>
      </c>
      <c r="T31" s="83">
        <v>21</v>
      </c>
      <c r="U31" s="83">
        <v>22</v>
      </c>
      <c r="V31" s="83">
        <v>41</v>
      </c>
      <c r="W31" s="83">
        <v>0</v>
      </c>
      <c r="X31" s="83">
        <v>35</v>
      </c>
      <c r="Y31" s="83">
        <v>16</v>
      </c>
      <c r="Z31" s="83">
        <v>15</v>
      </c>
      <c r="AA31" s="83">
        <v>13</v>
      </c>
      <c r="AB31" s="83">
        <v>12</v>
      </c>
      <c r="AC31" s="1">
        <v>5</v>
      </c>
      <c r="AD31" s="1">
        <v>2</v>
      </c>
      <c r="AE31" s="1">
        <v>3</v>
      </c>
      <c r="AF31" s="1">
        <v>6</v>
      </c>
    </row>
    <row r="32" spans="1:32" s="57" customFormat="1" ht="15.75" customHeight="1">
      <c r="A32" s="1" t="s">
        <v>61</v>
      </c>
      <c r="B32" s="1" t="s">
        <v>62</v>
      </c>
      <c r="C32" s="82">
        <v>9063</v>
      </c>
      <c r="D32" s="83">
        <v>0</v>
      </c>
      <c r="E32" s="83">
        <v>0</v>
      </c>
      <c r="F32" s="83">
        <v>0</v>
      </c>
      <c r="G32" s="81">
        <v>0</v>
      </c>
      <c r="H32" s="83">
        <v>0</v>
      </c>
      <c r="I32" s="83">
        <v>0</v>
      </c>
      <c r="J32" s="83">
        <v>1</v>
      </c>
      <c r="K32" s="83">
        <v>1</v>
      </c>
      <c r="L32" s="83">
        <v>0</v>
      </c>
      <c r="M32" s="83">
        <v>0</v>
      </c>
      <c r="N32" s="83">
        <v>0</v>
      </c>
      <c r="O32" s="83">
        <v>0</v>
      </c>
      <c r="P32" s="83">
        <v>0</v>
      </c>
      <c r="Q32" s="83">
        <v>0</v>
      </c>
      <c r="R32" s="83">
        <v>0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0</v>
      </c>
      <c r="AA32" s="83">
        <v>0</v>
      </c>
      <c r="AB32" s="83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s="57" customFormat="1" ht="15.75" customHeight="1">
      <c r="A33" s="1" t="s">
        <v>63</v>
      </c>
      <c r="B33" s="1" t="s">
        <v>48</v>
      </c>
      <c r="C33" s="82">
        <v>10075</v>
      </c>
      <c r="D33" s="83">
        <v>0</v>
      </c>
      <c r="E33" s="83">
        <v>2</v>
      </c>
      <c r="F33" s="83">
        <v>0</v>
      </c>
      <c r="G33" s="81">
        <v>0</v>
      </c>
      <c r="H33" s="83">
        <v>0</v>
      </c>
      <c r="I33" s="83">
        <v>0</v>
      </c>
      <c r="J33" s="83">
        <v>0</v>
      </c>
      <c r="K33" s="83">
        <v>1</v>
      </c>
      <c r="L33" s="83">
        <v>1</v>
      </c>
      <c r="M33" s="83">
        <v>1</v>
      </c>
      <c r="N33" s="83">
        <v>1</v>
      </c>
      <c r="O33" s="83">
        <v>2</v>
      </c>
      <c r="P33" s="83">
        <v>1</v>
      </c>
      <c r="Q33" s="83">
        <v>1</v>
      </c>
      <c r="R33" s="83">
        <v>1</v>
      </c>
      <c r="S33" s="83">
        <v>1</v>
      </c>
      <c r="T33" s="83">
        <v>1</v>
      </c>
      <c r="U33" s="83">
        <v>0</v>
      </c>
      <c r="V33" s="83">
        <v>1</v>
      </c>
      <c r="W33" s="83">
        <v>0</v>
      </c>
      <c r="X33" s="83">
        <v>0</v>
      </c>
      <c r="Y33" s="83">
        <v>0</v>
      </c>
      <c r="Z33" s="83">
        <v>1</v>
      </c>
      <c r="AA33" s="83">
        <v>1</v>
      </c>
      <c r="AB33" s="83">
        <v>1</v>
      </c>
      <c r="AC33" s="1">
        <v>3</v>
      </c>
      <c r="AD33" s="1">
        <v>6</v>
      </c>
      <c r="AE33" s="1">
        <v>2</v>
      </c>
      <c r="AF33" s="1">
        <v>7</v>
      </c>
    </row>
    <row r="34" spans="1:32" s="57" customFormat="1" ht="15.75" customHeight="1">
      <c r="A34" s="1" t="s">
        <v>64</v>
      </c>
      <c r="B34" s="1" t="s">
        <v>65</v>
      </c>
      <c r="C34" s="82">
        <v>10688</v>
      </c>
      <c r="D34" s="83">
        <v>0</v>
      </c>
      <c r="E34" s="83">
        <v>0</v>
      </c>
      <c r="F34" s="83">
        <v>0</v>
      </c>
      <c r="G34" s="81">
        <v>0</v>
      </c>
      <c r="H34" s="83">
        <v>0</v>
      </c>
      <c r="I34" s="83">
        <v>0</v>
      </c>
      <c r="J34" s="83">
        <v>0</v>
      </c>
      <c r="K34" s="83">
        <v>1</v>
      </c>
      <c r="L34" s="83">
        <v>6</v>
      </c>
      <c r="M34" s="83">
        <v>1</v>
      </c>
      <c r="N34" s="83">
        <v>0</v>
      </c>
      <c r="O34" s="83">
        <v>0</v>
      </c>
      <c r="P34" s="83">
        <v>0</v>
      </c>
      <c r="Q34" s="83">
        <v>0</v>
      </c>
      <c r="R34" s="83">
        <v>1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1</v>
      </c>
      <c r="Z34" s="83">
        <v>1</v>
      </c>
      <c r="AA34" s="83">
        <v>0</v>
      </c>
      <c r="AB34" s="83">
        <v>0</v>
      </c>
      <c r="AC34" s="1">
        <v>0</v>
      </c>
      <c r="AD34" s="1">
        <v>0</v>
      </c>
      <c r="AE34" s="1">
        <v>1</v>
      </c>
      <c r="AF34" s="1">
        <v>4</v>
      </c>
    </row>
    <row r="35" spans="1:32" s="57" customFormat="1" ht="15.75" customHeight="1">
      <c r="A35" s="1" t="s">
        <v>66</v>
      </c>
      <c r="B35" s="1" t="s">
        <v>62</v>
      </c>
      <c r="C35" s="82">
        <v>12678</v>
      </c>
      <c r="D35" s="83">
        <v>0</v>
      </c>
      <c r="E35" s="83">
        <v>0</v>
      </c>
      <c r="F35" s="83">
        <v>0</v>
      </c>
      <c r="G35" s="81">
        <v>0</v>
      </c>
      <c r="H35" s="83">
        <v>0</v>
      </c>
      <c r="I35" s="83">
        <v>0</v>
      </c>
      <c r="J35" s="83">
        <v>0</v>
      </c>
      <c r="K35" s="83">
        <v>1</v>
      </c>
      <c r="L35" s="83">
        <v>0</v>
      </c>
      <c r="M35" s="83">
        <v>0</v>
      </c>
      <c r="N35" s="83">
        <v>0</v>
      </c>
      <c r="O35" s="83">
        <v>2</v>
      </c>
      <c r="P35" s="83">
        <v>4</v>
      </c>
      <c r="Q35" s="83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0</v>
      </c>
      <c r="X35" s="83">
        <v>1</v>
      </c>
      <c r="Y35" s="83">
        <v>0</v>
      </c>
      <c r="Z35" s="83">
        <v>0</v>
      </c>
      <c r="AA35" s="83">
        <v>1</v>
      </c>
      <c r="AB35" s="83">
        <v>3</v>
      </c>
      <c r="AC35" s="1">
        <v>1</v>
      </c>
      <c r="AD35" s="1">
        <v>0</v>
      </c>
      <c r="AE35" s="1">
        <v>0</v>
      </c>
      <c r="AF35" s="1">
        <v>0</v>
      </c>
    </row>
    <row r="36" spans="1:32" s="57" customFormat="1" ht="15.75" customHeight="1">
      <c r="A36" s="1" t="s">
        <v>67</v>
      </c>
      <c r="B36" s="1" t="s">
        <v>58</v>
      </c>
      <c r="C36" s="82">
        <v>12850</v>
      </c>
      <c r="D36" s="83">
        <v>0</v>
      </c>
      <c r="E36" s="83">
        <v>0</v>
      </c>
      <c r="F36" s="83">
        <v>0</v>
      </c>
      <c r="G36" s="81">
        <v>0</v>
      </c>
      <c r="H36" s="83">
        <v>0</v>
      </c>
      <c r="I36" s="83">
        <v>0</v>
      </c>
      <c r="J36" s="83">
        <v>0</v>
      </c>
      <c r="K36" s="83">
        <v>0</v>
      </c>
      <c r="L36" s="83">
        <v>0</v>
      </c>
      <c r="M36" s="83">
        <v>0</v>
      </c>
      <c r="N36" s="83">
        <v>0</v>
      </c>
      <c r="O36" s="83">
        <v>1</v>
      </c>
      <c r="P36" s="83">
        <v>0</v>
      </c>
      <c r="Q36" s="83">
        <v>1</v>
      </c>
      <c r="R36" s="83">
        <v>0</v>
      </c>
      <c r="S36" s="83">
        <v>1</v>
      </c>
      <c r="T36" s="83">
        <v>0</v>
      </c>
      <c r="U36" s="83">
        <v>1</v>
      </c>
      <c r="V36" s="83">
        <v>1</v>
      </c>
      <c r="W36" s="83">
        <v>4</v>
      </c>
      <c r="X36" s="83">
        <v>0</v>
      </c>
      <c r="Y36" s="83">
        <v>0</v>
      </c>
      <c r="Z36" s="83">
        <v>0</v>
      </c>
      <c r="AA36" s="83">
        <v>0</v>
      </c>
      <c r="AB36" s="83">
        <v>2</v>
      </c>
      <c r="AC36" s="1">
        <v>1</v>
      </c>
      <c r="AD36" s="1">
        <v>1</v>
      </c>
      <c r="AE36" s="1">
        <v>3</v>
      </c>
      <c r="AF36" s="1">
        <v>4</v>
      </c>
    </row>
    <row r="37" spans="1:32" s="57" customFormat="1" ht="15.75" customHeight="1">
      <c r="A37" s="1" t="s">
        <v>68</v>
      </c>
      <c r="B37" s="1" t="s">
        <v>28</v>
      </c>
      <c r="C37" s="82">
        <v>12859</v>
      </c>
      <c r="D37" s="83">
        <v>0</v>
      </c>
      <c r="E37" s="83">
        <v>0</v>
      </c>
      <c r="F37" s="83">
        <v>0</v>
      </c>
      <c r="G37" s="81">
        <v>0</v>
      </c>
      <c r="H37" s="83">
        <v>0</v>
      </c>
      <c r="I37" s="83">
        <v>0</v>
      </c>
      <c r="J37" s="83">
        <v>0</v>
      </c>
      <c r="K37" s="83">
        <v>0</v>
      </c>
      <c r="L37" s="83">
        <v>0</v>
      </c>
      <c r="M37" s="83">
        <v>0</v>
      </c>
      <c r="N37" s="83">
        <v>0</v>
      </c>
      <c r="O37" s="83">
        <v>0</v>
      </c>
      <c r="P37" s="83">
        <v>1</v>
      </c>
      <c r="Q37" s="83">
        <v>0</v>
      </c>
      <c r="R37" s="83">
        <v>0</v>
      </c>
      <c r="S37" s="83">
        <v>0</v>
      </c>
      <c r="T37" s="83">
        <v>0</v>
      </c>
      <c r="U37" s="83">
        <v>0</v>
      </c>
      <c r="V37" s="83">
        <v>0</v>
      </c>
      <c r="W37" s="83">
        <v>1</v>
      </c>
      <c r="X37" s="83">
        <v>0</v>
      </c>
      <c r="Y37" s="83">
        <v>0</v>
      </c>
      <c r="Z37" s="83">
        <v>0</v>
      </c>
      <c r="AA37" s="83">
        <v>1</v>
      </c>
      <c r="AB37" s="83">
        <v>0</v>
      </c>
      <c r="AC37" s="1">
        <v>1</v>
      </c>
      <c r="AD37" s="1">
        <v>0</v>
      </c>
      <c r="AE37" s="1">
        <v>0</v>
      </c>
      <c r="AF37" s="1">
        <v>0</v>
      </c>
    </row>
    <row r="38" spans="1:32" s="57" customFormat="1" ht="15.75" customHeight="1">
      <c r="A38" s="1" t="s">
        <v>69</v>
      </c>
      <c r="B38" s="1" t="s">
        <v>58</v>
      </c>
      <c r="C38" s="82">
        <v>12997</v>
      </c>
      <c r="D38" s="83">
        <v>0</v>
      </c>
      <c r="E38" s="83">
        <v>0</v>
      </c>
      <c r="F38" s="83">
        <v>0</v>
      </c>
      <c r="G38" s="81">
        <v>0</v>
      </c>
      <c r="H38" s="83">
        <v>0</v>
      </c>
      <c r="I38" s="83">
        <v>3</v>
      </c>
      <c r="J38" s="83">
        <v>0</v>
      </c>
      <c r="K38" s="83">
        <v>0</v>
      </c>
      <c r="L38" s="83">
        <v>0</v>
      </c>
      <c r="M38" s="83">
        <v>0</v>
      </c>
      <c r="N38" s="83">
        <v>1</v>
      </c>
      <c r="O38" s="83">
        <v>3</v>
      </c>
      <c r="P38" s="83">
        <v>1</v>
      </c>
      <c r="Q38" s="83">
        <v>2</v>
      </c>
      <c r="R38" s="83">
        <v>1</v>
      </c>
      <c r="S38" s="83">
        <v>3</v>
      </c>
      <c r="T38" s="83">
        <v>2</v>
      </c>
      <c r="U38" s="83">
        <v>2</v>
      </c>
      <c r="V38" s="83">
        <v>4</v>
      </c>
      <c r="W38" s="83">
        <v>8</v>
      </c>
      <c r="X38" s="83">
        <v>6</v>
      </c>
      <c r="Y38" s="83">
        <v>3</v>
      </c>
      <c r="Z38" s="83">
        <v>15</v>
      </c>
      <c r="AA38" s="83">
        <v>12</v>
      </c>
      <c r="AB38" s="83">
        <v>10</v>
      </c>
      <c r="AC38" s="1">
        <v>15</v>
      </c>
      <c r="AD38" s="1">
        <v>17</v>
      </c>
      <c r="AE38" s="1">
        <v>19</v>
      </c>
      <c r="AF38" s="1">
        <v>21</v>
      </c>
    </row>
    <row r="39" spans="1:32" s="57" customFormat="1" ht="15.75" customHeight="1">
      <c r="A39" s="1" t="s">
        <v>70</v>
      </c>
      <c r="B39" s="1" t="s">
        <v>43</v>
      </c>
      <c r="C39" s="82">
        <v>13219</v>
      </c>
      <c r="D39" s="83">
        <v>0</v>
      </c>
      <c r="E39" s="83">
        <v>0</v>
      </c>
      <c r="F39" s="83">
        <v>0</v>
      </c>
      <c r="G39" s="81">
        <v>0</v>
      </c>
      <c r="H39" s="83">
        <v>0</v>
      </c>
      <c r="I39" s="83">
        <v>0</v>
      </c>
      <c r="J39" s="83">
        <v>0</v>
      </c>
      <c r="K39" s="83">
        <v>0</v>
      </c>
      <c r="L39" s="83">
        <v>0</v>
      </c>
      <c r="M39" s="83">
        <v>0</v>
      </c>
      <c r="N39" s="83">
        <v>1</v>
      </c>
      <c r="O39" s="83">
        <v>0</v>
      </c>
      <c r="P39" s="83">
        <v>0</v>
      </c>
      <c r="Q39" s="83">
        <v>0</v>
      </c>
      <c r="R39" s="83">
        <v>0</v>
      </c>
      <c r="S39" s="83">
        <v>0</v>
      </c>
      <c r="T39" s="83">
        <v>0</v>
      </c>
      <c r="U39" s="83">
        <v>0</v>
      </c>
      <c r="V39" s="83">
        <v>0</v>
      </c>
      <c r="W39" s="83">
        <v>1</v>
      </c>
      <c r="X39" s="83">
        <v>1</v>
      </c>
      <c r="Y39" s="83">
        <v>1</v>
      </c>
      <c r="Z39" s="83">
        <v>0</v>
      </c>
      <c r="AA39" s="83">
        <v>0</v>
      </c>
      <c r="AB39" s="83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s="57" customFormat="1" ht="15.75" customHeight="1">
      <c r="A40" s="84" t="s">
        <v>71</v>
      </c>
      <c r="B40" s="1" t="s">
        <v>48</v>
      </c>
      <c r="C40" s="82">
        <v>13295</v>
      </c>
      <c r="D40" s="83">
        <v>0</v>
      </c>
      <c r="E40" s="83">
        <v>0</v>
      </c>
      <c r="F40" s="83">
        <v>0</v>
      </c>
      <c r="G40" s="81">
        <v>0</v>
      </c>
      <c r="H40" s="83">
        <v>0</v>
      </c>
      <c r="I40" s="83">
        <v>0</v>
      </c>
      <c r="J40" s="83">
        <v>0</v>
      </c>
      <c r="K40" s="83">
        <v>0</v>
      </c>
      <c r="L40" s="83">
        <v>0</v>
      </c>
      <c r="M40" s="83">
        <v>0</v>
      </c>
      <c r="N40" s="83">
        <v>0</v>
      </c>
      <c r="O40" s="83">
        <v>0</v>
      </c>
      <c r="P40" s="83">
        <v>0</v>
      </c>
      <c r="Q40" s="83">
        <v>0</v>
      </c>
      <c r="R40" s="83">
        <v>0</v>
      </c>
      <c r="S40" s="83">
        <v>0</v>
      </c>
      <c r="T40" s="83">
        <v>0</v>
      </c>
      <c r="U40" s="83">
        <v>0</v>
      </c>
      <c r="V40" s="83">
        <v>0</v>
      </c>
      <c r="W40" s="83">
        <v>0</v>
      </c>
      <c r="X40" s="83">
        <v>0</v>
      </c>
      <c r="Y40" s="83">
        <v>0</v>
      </c>
      <c r="Z40" s="83">
        <v>0</v>
      </c>
      <c r="AA40" s="83">
        <v>0</v>
      </c>
      <c r="AB40" s="83">
        <v>0</v>
      </c>
      <c r="AC40" s="1">
        <v>1</v>
      </c>
      <c r="AD40" s="1">
        <v>1</v>
      </c>
      <c r="AE40" s="1">
        <v>0</v>
      </c>
      <c r="AF40" s="1">
        <v>0</v>
      </c>
    </row>
    <row r="41" spans="1:32" s="57" customFormat="1" ht="15.75" customHeight="1">
      <c r="A41" s="1" t="s">
        <v>72</v>
      </c>
      <c r="B41" s="1" t="s">
        <v>73</v>
      </c>
      <c r="C41" s="82">
        <v>13437</v>
      </c>
      <c r="D41" s="83">
        <v>0</v>
      </c>
      <c r="E41" s="83">
        <v>0</v>
      </c>
      <c r="F41" s="83">
        <v>0</v>
      </c>
      <c r="G41" s="81">
        <v>0</v>
      </c>
      <c r="H41" s="83">
        <v>0</v>
      </c>
      <c r="I41" s="83">
        <v>0</v>
      </c>
      <c r="J41" s="83">
        <v>0</v>
      </c>
      <c r="K41" s="83">
        <v>0</v>
      </c>
      <c r="L41" s="83">
        <v>0</v>
      </c>
      <c r="M41" s="83">
        <v>0</v>
      </c>
      <c r="N41" s="83">
        <v>0</v>
      </c>
      <c r="O41" s="83">
        <v>0</v>
      </c>
      <c r="P41" s="83">
        <v>0</v>
      </c>
      <c r="Q41" s="83">
        <v>0</v>
      </c>
      <c r="R41" s="83">
        <v>0</v>
      </c>
      <c r="S41" s="83">
        <v>0</v>
      </c>
      <c r="T41" s="83">
        <v>0</v>
      </c>
      <c r="U41" s="83">
        <v>1</v>
      </c>
      <c r="V41" s="83">
        <v>0</v>
      </c>
      <c r="W41" s="83">
        <v>0</v>
      </c>
      <c r="X41" s="83">
        <v>0</v>
      </c>
      <c r="Y41" s="83">
        <v>0</v>
      </c>
      <c r="Z41" s="83">
        <v>0</v>
      </c>
      <c r="AA41" s="83">
        <v>0</v>
      </c>
      <c r="AB41" s="83">
        <v>0</v>
      </c>
      <c r="AC41" s="1">
        <v>0</v>
      </c>
      <c r="AD41" s="1">
        <v>0</v>
      </c>
      <c r="AE41" s="1">
        <v>0</v>
      </c>
      <c r="AF41" s="1">
        <v>1</v>
      </c>
    </row>
    <row r="42" spans="1:32" s="57" customFormat="1" ht="15.75" customHeight="1">
      <c r="A42" s="1" t="s">
        <v>74</v>
      </c>
      <c r="B42" s="1" t="s">
        <v>62</v>
      </c>
      <c r="C42" s="82">
        <v>13503</v>
      </c>
      <c r="D42" s="83">
        <v>0</v>
      </c>
      <c r="E42" s="83">
        <v>0</v>
      </c>
      <c r="F42" s="83">
        <v>0</v>
      </c>
      <c r="G42" s="81">
        <v>0</v>
      </c>
      <c r="H42" s="83">
        <v>0</v>
      </c>
      <c r="I42" s="83">
        <v>0</v>
      </c>
      <c r="J42" s="83">
        <v>0</v>
      </c>
      <c r="K42" s="83">
        <v>0</v>
      </c>
      <c r="L42" s="83">
        <v>0</v>
      </c>
      <c r="M42" s="83">
        <v>0</v>
      </c>
      <c r="N42" s="83">
        <v>0</v>
      </c>
      <c r="O42" s="83">
        <v>0</v>
      </c>
      <c r="P42" s="83">
        <v>0</v>
      </c>
      <c r="Q42" s="83">
        <v>0</v>
      </c>
      <c r="R42" s="83">
        <v>0</v>
      </c>
      <c r="S42" s="83">
        <v>0</v>
      </c>
      <c r="T42" s="83">
        <v>0</v>
      </c>
      <c r="U42" s="83">
        <v>0</v>
      </c>
      <c r="V42" s="83">
        <v>0</v>
      </c>
      <c r="W42" s="83">
        <v>0</v>
      </c>
      <c r="X42" s="83">
        <v>1</v>
      </c>
      <c r="Y42" s="83">
        <v>0</v>
      </c>
      <c r="Z42" s="83">
        <v>1</v>
      </c>
      <c r="AA42" s="83">
        <v>2</v>
      </c>
      <c r="AB42" s="83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s="57" customFormat="1" ht="15.75" customHeight="1">
      <c r="A43" s="1" t="s">
        <v>75</v>
      </c>
      <c r="B43" s="1" t="s">
        <v>62</v>
      </c>
      <c r="C43" s="82">
        <v>13504</v>
      </c>
      <c r="D43" s="83">
        <v>0</v>
      </c>
      <c r="E43" s="83">
        <v>0</v>
      </c>
      <c r="F43" s="83">
        <v>0</v>
      </c>
      <c r="G43" s="81">
        <v>0</v>
      </c>
      <c r="H43" s="83">
        <v>0</v>
      </c>
      <c r="I43" s="83">
        <v>0</v>
      </c>
      <c r="J43" s="83">
        <v>0</v>
      </c>
      <c r="K43" s="83">
        <v>0</v>
      </c>
      <c r="L43" s="83">
        <v>0</v>
      </c>
      <c r="M43" s="83">
        <v>0</v>
      </c>
      <c r="N43" s="83">
        <v>3</v>
      </c>
      <c r="O43" s="83">
        <v>5</v>
      </c>
      <c r="P43" s="83">
        <v>0</v>
      </c>
      <c r="Q43" s="83">
        <v>0</v>
      </c>
      <c r="R43" s="83">
        <v>0</v>
      </c>
      <c r="S43" s="83">
        <v>1</v>
      </c>
      <c r="T43" s="83">
        <v>1</v>
      </c>
      <c r="U43" s="83">
        <v>2</v>
      </c>
      <c r="V43" s="83">
        <v>3</v>
      </c>
      <c r="W43" s="83">
        <v>3</v>
      </c>
      <c r="X43" s="83">
        <v>2</v>
      </c>
      <c r="Y43" s="83">
        <v>4</v>
      </c>
      <c r="Z43" s="83">
        <v>6</v>
      </c>
      <c r="AA43" s="83">
        <v>8</v>
      </c>
      <c r="AB43" s="83">
        <v>5</v>
      </c>
      <c r="AC43" s="1">
        <v>11</v>
      </c>
      <c r="AD43" s="1">
        <v>12</v>
      </c>
      <c r="AE43" s="1">
        <v>11</v>
      </c>
      <c r="AF43" s="1">
        <v>9</v>
      </c>
    </row>
    <row r="44" spans="1:32" s="57" customFormat="1" ht="15.75" customHeight="1">
      <c r="A44" s="1" t="s">
        <v>76</v>
      </c>
      <c r="B44" s="1" t="s">
        <v>48</v>
      </c>
      <c r="C44" s="82">
        <v>13619</v>
      </c>
      <c r="D44" s="83">
        <v>0</v>
      </c>
      <c r="E44" s="83">
        <v>0</v>
      </c>
      <c r="F44" s="83">
        <v>0</v>
      </c>
      <c r="G44" s="81">
        <v>0</v>
      </c>
      <c r="H44" s="83">
        <v>0</v>
      </c>
      <c r="I44" s="83">
        <v>0</v>
      </c>
      <c r="J44" s="83">
        <v>0</v>
      </c>
      <c r="K44" s="83">
        <v>0</v>
      </c>
      <c r="L44" s="83">
        <v>0</v>
      </c>
      <c r="M44" s="83">
        <v>0</v>
      </c>
      <c r="N44" s="83">
        <v>1</v>
      </c>
      <c r="O44" s="83">
        <v>0</v>
      </c>
      <c r="P44" s="83">
        <v>0</v>
      </c>
      <c r="Q44" s="83">
        <v>0</v>
      </c>
      <c r="R44" s="83">
        <v>0</v>
      </c>
      <c r="S44" s="83">
        <v>0</v>
      </c>
      <c r="T44" s="83">
        <v>0</v>
      </c>
      <c r="U44" s="83">
        <v>0</v>
      </c>
      <c r="V44" s="83">
        <v>0</v>
      </c>
      <c r="W44" s="83">
        <v>0</v>
      </c>
      <c r="X44" s="83">
        <v>0</v>
      </c>
      <c r="Y44" s="83">
        <v>0</v>
      </c>
      <c r="Z44" s="83">
        <v>0</v>
      </c>
      <c r="AA44" s="83">
        <v>1</v>
      </c>
      <c r="AB44" s="83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s="57" customFormat="1" ht="15.75" customHeight="1">
      <c r="A45" s="1" t="s">
        <v>77</v>
      </c>
      <c r="B45" s="1" t="s">
        <v>78</v>
      </c>
      <c r="C45" s="82">
        <v>17406</v>
      </c>
      <c r="D45" s="83">
        <v>0</v>
      </c>
      <c r="E45" s="83">
        <v>0</v>
      </c>
      <c r="F45" s="83">
        <v>0</v>
      </c>
      <c r="G45" s="81">
        <v>0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3">
        <v>1</v>
      </c>
      <c r="O45" s="83">
        <v>7</v>
      </c>
      <c r="P45" s="83">
        <v>5</v>
      </c>
      <c r="Q45" s="83">
        <v>4</v>
      </c>
      <c r="R45" s="83">
        <v>2</v>
      </c>
      <c r="S45" s="83">
        <v>5</v>
      </c>
      <c r="T45" s="83">
        <v>3</v>
      </c>
      <c r="U45" s="83">
        <v>2</v>
      </c>
      <c r="V45" s="83">
        <v>0</v>
      </c>
      <c r="W45" s="83">
        <v>0</v>
      </c>
      <c r="X45" s="83">
        <v>1</v>
      </c>
      <c r="Y45" s="83">
        <v>3</v>
      </c>
      <c r="Z45" s="83">
        <v>3</v>
      </c>
      <c r="AA45" s="83">
        <v>4</v>
      </c>
      <c r="AB45" s="83">
        <v>0</v>
      </c>
      <c r="AC45" s="1">
        <v>2</v>
      </c>
      <c r="AD45" s="1">
        <v>12</v>
      </c>
      <c r="AE45" s="1">
        <v>8</v>
      </c>
      <c r="AF45" s="1">
        <v>7</v>
      </c>
    </row>
    <row r="46" spans="1:32" s="57" customFormat="1" ht="15.75" customHeight="1">
      <c r="A46" s="1" t="s">
        <v>79</v>
      </c>
      <c r="B46" s="1" t="s">
        <v>43</v>
      </c>
      <c r="C46" s="82">
        <v>17460</v>
      </c>
      <c r="D46" s="83">
        <v>0</v>
      </c>
      <c r="E46" s="83">
        <v>0</v>
      </c>
      <c r="F46" s="83">
        <v>0</v>
      </c>
      <c r="G46" s="81">
        <v>0</v>
      </c>
      <c r="H46" s="83">
        <v>0</v>
      </c>
      <c r="I46" s="83">
        <v>0</v>
      </c>
      <c r="J46" s="83">
        <v>0</v>
      </c>
      <c r="K46" s="83">
        <v>0</v>
      </c>
      <c r="L46" s="83">
        <v>0</v>
      </c>
      <c r="M46" s="83">
        <v>0</v>
      </c>
      <c r="N46" s="83">
        <v>2</v>
      </c>
      <c r="O46" s="83">
        <v>0</v>
      </c>
      <c r="P46" s="83">
        <v>0</v>
      </c>
      <c r="Q46" s="83">
        <v>0</v>
      </c>
      <c r="R46" s="83">
        <v>0</v>
      </c>
      <c r="S46" s="83">
        <v>0</v>
      </c>
      <c r="T46" s="83">
        <v>0</v>
      </c>
      <c r="U46" s="83">
        <v>0</v>
      </c>
      <c r="V46" s="83">
        <v>0</v>
      </c>
      <c r="W46" s="83">
        <v>0</v>
      </c>
      <c r="X46" s="83">
        <v>0</v>
      </c>
      <c r="Y46" s="83">
        <v>0</v>
      </c>
      <c r="Z46" s="83">
        <v>0</v>
      </c>
      <c r="AA46" s="83">
        <v>0</v>
      </c>
      <c r="AB46" s="83">
        <v>0</v>
      </c>
      <c r="AC46" s="1">
        <v>1</v>
      </c>
      <c r="AD46" s="1">
        <v>0</v>
      </c>
      <c r="AE46" s="1">
        <v>0</v>
      </c>
      <c r="AF46" s="1">
        <v>0</v>
      </c>
    </row>
    <row r="47" spans="1:32" s="57" customFormat="1" ht="15.75" customHeight="1">
      <c r="A47" s="1" t="s">
        <v>80</v>
      </c>
      <c r="B47" s="1" t="s">
        <v>48</v>
      </c>
      <c r="C47" s="82">
        <v>17473</v>
      </c>
      <c r="D47" s="83">
        <v>0</v>
      </c>
      <c r="E47" s="83">
        <v>0</v>
      </c>
      <c r="F47" s="83">
        <v>0</v>
      </c>
      <c r="G47" s="81">
        <v>0</v>
      </c>
      <c r="H47" s="83">
        <v>0</v>
      </c>
      <c r="I47" s="83">
        <v>0</v>
      </c>
      <c r="J47" s="83">
        <v>0</v>
      </c>
      <c r="K47" s="83">
        <v>0</v>
      </c>
      <c r="L47" s="83">
        <v>0</v>
      </c>
      <c r="M47" s="83">
        <v>0</v>
      </c>
      <c r="N47" s="83">
        <v>2</v>
      </c>
      <c r="O47" s="83">
        <v>2</v>
      </c>
      <c r="P47" s="83">
        <v>2</v>
      </c>
      <c r="Q47" s="83">
        <v>0</v>
      </c>
      <c r="R47" s="83">
        <v>3</v>
      </c>
      <c r="S47" s="83">
        <v>2</v>
      </c>
      <c r="T47" s="83">
        <v>1</v>
      </c>
      <c r="U47" s="83">
        <v>6</v>
      </c>
      <c r="V47" s="83">
        <v>0</v>
      </c>
      <c r="W47" s="83">
        <v>19</v>
      </c>
      <c r="X47" s="83">
        <v>33</v>
      </c>
      <c r="Y47" s="83">
        <v>29</v>
      </c>
      <c r="Z47" s="83">
        <v>27</v>
      </c>
      <c r="AA47" s="83">
        <v>28</v>
      </c>
      <c r="AB47" s="83">
        <v>0</v>
      </c>
      <c r="AC47" s="1">
        <v>31</v>
      </c>
      <c r="AD47" s="1">
        <v>28</v>
      </c>
      <c r="AE47" s="1">
        <v>21</v>
      </c>
      <c r="AF47" s="1">
        <v>20</v>
      </c>
    </row>
    <row r="48" spans="1:32" s="57" customFormat="1" ht="15.75" customHeight="1">
      <c r="A48" s="1" t="s">
        <v>81</v>
      </c>
      <c r="B48" s="1" t="s">
        <v>78</v>
      </c>
      <c r="C48" s="82">
        <v>17548</v>
      </c>
      <c r="D48" s="83">
        <v>0</v>
      </c>
      <c r="E48" s="83">
        <v>0</v>
      </c>
      <c r="F48" s="83">
        <v>0</v>
      </c>
      <c r="G48" s="81">
        <v>0</v>
      </c>
      <c r="H48" s="83">
        <v>0</v>
      </c>
      <c r="I48" s="83">
        <v>0</v>
      </c>
      <c r="J48" s="83">
        <v>0</v>
      </c>
      <c r="K48" s="83">
        <v>0</v>
      </c>
      <c r="L48" s="83">
        <v>0</v>
      </c>
      <c r="M48" s="83">
        <v>0</v>
      </c>
      <c r="N48" s="83">
        <v>0</v>
      </c>
      <c r="O48" s="83">
        <v>0</v>
      </c>
      <c r="P48" s="83">
        <v>0</v>
      </c>
      <c r="Q48" s="83">
        <v>1</v>
      </c>
      <c r="R48" s="83">
        <v>0</v>
      </c>
      <c r="S48" s="83">
        <v>0</v>
      </c>
      <c r="T48" s="83">
        <v>0</v>
      </c>
      <c r="U48" s="83">
        <v>0</v>
      </c>
      <c r="V48" s="83">
        <v>0</v>
      </c>
      <c r="W48" s="83">
        <v>0</v>
      </c>
      <c r="X48" s="83">
        <v>0</v>
      </c>
      <c r="Y48" s="83">
        <v>0</v>
      </c>
      <c r="Z48" s="83">
        <v>0</v>
      </c>
      <c r="AA48" s="83">
        <v>0</v>
      </c>
      <c r="AB48" s="83">
        <v>0</v>
      </c>
      <c r="AC48" s="1">
        <v>0</v>
      </c>
      <c r="AD48" s="1">
        <v>0</v>
      </c>
      <c r="AE48" s="1">
        <v>0</v>
      </c>
      <c r="AF48" s="1">
        <v>0</v>
      </c>
    </row>
    <row r="49" spans="1:32" s="57" customFormat="1" ht="15.75" customHeight="1">
      <c r="A49" s="1" t="s">
        <v>82</v>
      </c>
      <c r="B49" s="1" t="s">
        <v>62</v>
      </c>
      <c r="C49" s="82">
        <v>17649</v>
      </c>
      <c r="D49" s="83">
        <v>0</v>
      </c>
      <c r="E49" s="83">
        <v>0</v>
      </c>
      <c r="F49" s="83">
        <v>0</v>
      </c>
      <c r="G49" s="81">
        <v>0</v>
      </c>
      <c r="H49" s="83">
        <v>0</v>
      </c>
      <c r="I49" s="83">
        <v>0</v>
      </c>
      <c r="J49" s="83">
        <v>0</v>
      </c>
      <c r="K49" s="83">
        <v>0</v>
      </c>
      <c r="L49" s="83">
        <v>0</v>
      </c>
      <c r="M49" s="83">
        <v>0</v>
      </c>
      <c r="N49" s="83">
        <v>0</v>
      </c>
      <c r="O49" s="83">
        <v>0</v>
      </c>
      <c r="P49" s="83">
        <v>0</v>
      </c>
      <c r="Q49" s="83">
        <v>0</v>
      </c>
      <c r="R49" s="83">
        <v>0</v>
      </c>
      <c r="S49" s="83">
        <v>0</v>
      </c>
      <c r="T49" s="83">
        <v>3</v>
      </c>
      <c r="U49" s="83">
        <v>0</v>
      </c>
      <c r="V49" s="83">
        <v>0</v>
      </c>
      <c r="W49" s="83">
        <v>1</v>
      </c>
      <c r="X49" s="83">
        <v>1</v>
      </c>
      <c r="Y49" s="83">
        <v>1</v>
      </c>
      <c r="Z49" s="83">
        <v>0</v>
      </c>
      <c r="AA49" s="83">
        <v>1</v>
      </c>
      <c r="AB49" s="83">
        <v>1</v>
      </c>
      <c r="AC49" s="1">
        <v>2</v>
      </c>
      <c r="AD49" s="1">
        <v>8</v>
      </c>
      <c r="AE49" s="1">
        <v>8</v>
      </c>
      <c r="AF49" s="1">
        <v>5</v>
      </c>
    </row>
    <row r="50" spans="1:32" s="57" customFormat="1" ht="15.75" customHeight="1">
      <c r="A50" s="1" t="s">
        <v>83</v>
      </c>
      <c r="B50" s="1" t="s">
        <v>73</v>
      </c>
      <c r="C50" s="82">
        <v>17758</v>
      </c>
      <c r="D50" s="83">
        <v>0</v>
      </c>
      <c r="E50" s="83">
        <v>0</v>
      </c>
      <c r="F50" s="83">
        <v>0</v>
      </c>
      <c r="G50" s="81">
        <v>0</v>
      </c>
      <c r="H50" s="83">
        <v>0</v>
      </c>
      <c r="I50" s="83">
        <v>0</v>
      </c>
      <c r="J50" s="83">
        <v>0</v>
      </c>
      <c r="K50" s="83">
        <v>0</v>
      </c>
      <c r="L50" s="83">
        <v>0</v>
      </c>
      <c r="M50" s="83">
        <v>0</v>
      </c>
      <c r="N50" s="83">
        <v>1</v>
      </c>
      <c r="O50" s="83">
        <v>0</v>
      </c>
      <c r="P50" s="83">
        <v>0</v>
      </c>
      <c r="Q50" s="83">
        <v>0</v>
      </c>
      <c r="R50" s="83">
        <v>0</v>
      </c>
      <c r="S50" s="83">
        <v>0</v>
      </c>
      <c r="T50" s="83">
        <v>0</v>
      </c>
      <c r="U50" s="83">
        <v>1</v>
      </c>
      <c r="V50" s="83">
        <v>0</v>
      </c>
      <c r="W50" s="83">
        <v>2</v>
      </c>
      <c r="X50" s="83">
        <v>0</v>
      </c>
      <c r="Y50" s="83">
        <v>1</v>
      </c>
      <c r="Z50" s="83">
        <v>1</v>
      </c>
      <c r="AA50" s="83">
        <v>0</v>
      </c>
      <c r="AB50" s="83">
        <v>0</v>
      </c>
      <c r="AC50" s="1">
        <v>0</v>
      </c>
      <c r="AD50" s="1">
        <v>2</v>
      </c>
      <c r="AE50" s="1">
        <v>1</v>
      </c>
      <c r="AF50" s="1">
        <v>1</v>
      </c>
    </row>
    <row r="51" spans="1:32" s="57" customFormat="1" ht="15.75" customHeight="1">
      <c r="A51" s="1" t="s">
        <v>84</v>
      </c>
      <c r="B51" s="1" t="s">
        <v>78</v>
      </c>
      <c r="C51" s="82">
        <v>17793</v>
      </c>
      <c r="D51" s="83">
        <v>0</v>
      </c>
      <c r="E51" s="83">
        <v>0</v>
      </c>
      <c r="F51" s="83">
        <v>0</v>
      </c>
      <c r="G51" s="81">
        <v>0</v>
      </c>
      <c r="H51" s="83">
        <v>0</v>
      </c>
      <c r="I51" s="83">
        <v>0</v>
      </c>
      <c r="J51" s="83">
        <v>0</v>
      </c>
      <c r="K51" s="83">
        <v>0</v>
      </c>
      <c r="L51" s="83">
        <v>0</v>
      </c>
      <c r="M51" s="83">
        <v>0</v>
      </c>
      <c r="N51" s="83">
        <v>0</v>
      </c>
      <c r="O51" s="83">
        <v>0</v>
      </c>
      <c r="P51" s="83">
        <v>0</v>
      </c>
      <c r="Q51" s="83">
        <v>0</v>
      </c>
      <c r="R51" s="83">
        <v>0</v>
      </c>
      <c r="S51" s="83">
        <v>0</v>
      </c>
      <c r="T51" s="83">
        <v>0</v>
      </c>
      <c r="U51" s="83">
        <v>0</v>
      </c>
      <c r="V51" s="83">
        <v>0</v>
      </c>
      <c r="W51" s="83">
        <v>1</v>
      </c>
      <c r="X51" s="83">
        <v>0</v>
      </c>
      <c r="Y51" s="83">
        <v>0</v>
      </c>
      <c r="Z51" s="83">
        <v>1</v>
      </c>
      <c r="AA51" s="83">
        <v>0</v>
      </c>
      <c r="AB51" s="83">
        <v>0</v>
      </c>
      <c r="AC51" s="1">
        <v>0</v>
      </c>
      <c r="AD51" s="1">
        <v>0</v>
      </c>
      <c r="AE51" s="1">
        <v>0</v>
      </c>
      <c r="AF51" s="1">
        <v>1</v>
      </c>
    </row>
    <row r="52" spans="1:32" s="57" customFormat="1" ht="15.75" customHeight="1">
      <c r="A52" s="1" t="s">
        <v>85</v>
      </c>
      <c r="B52" s="1" t="s">
        <v>78</v>
      </c>
      <c r="C52" s="82">
        <v>17815</v>
      </c>
      <c r="D52" s="83">
        <v>0</v>
      </c>
      <c r="E52" s="83">
        <v>0</v>
      </c>
      <c r="F52" s="83">
        <v>0</v>
      </c>
      <c r="G52" s="81">
        <v>0</v>
      </c>
      <c r="H52" s="83">
        <v>0</v>
      </c>
      <c r="I52" s="83">
        <v>0</v>
      </c>
      <c r="J52" s="83">
        <v>0</v>
      </c>
      <c r="K52" s="83">
        <v>0</v>
      </c>
      <c r="L52" s="83">
        <v>0</v>
      </c>
      <c r="M52" s="83">
        <v>0</v>
      </c>
      <c r="N52" s="83">
        <v>0</v>
      </c>
      <c r="O52" s="83">
        <v>2</v>
      </c>
      <c r="P52" s="83">
        <v>0</v>
      </c>
      <c r="Q52" s="83">
        <v>0</v>
      </c>
      <c r="R52" s="83">
        <v>0</v>
      </c>
      <c r="S52" s="83">
        <v>0</v>
      </c>
      <c r="T52" s="83">
        <v>1</v>
      </c>
      <c r="U52" s="83">
        <v>0</v>
      </c>
      <c r="V52" s="83">
        <v>1</v>
      </c>
      <c r="W52" s="83">
        <v>0</v>
      </c>
      <c r="X52" s="83">
        <v>0</v>
      </c>
      <c r="Y52" s="83">
        <v>0</v>
      </c>
      <c r="Z52" s="83">
        <v>0</v>
      </c>
      <c r="AA52" s="83">
        <v>0</v>
      </c>
      <c r="AB52" s="83">
        <v>0</v>
      </c>
      <c r="AC52" s="1">
        <v>0</v>
      </c>
      <c r="AD52" s="1">
        <v>0</v>
      </c>
      <c r="AE52" s="1">
        <v>0</v>
      </c>
      <c r="AF52" s="1">
        <v>0</v>
      </c>
    </row>
    <row r="53" spans="1:32" s="57" customFormat="1" ht="15.75" customHeight="1">
      <c r="A53" s="1" t="s">
        <v>86</v>
      </c>
      <c r="B53" s="1" t="s">
        <v>62</v>
      </c>
      <c r="C53" s="82">
        <v>17841</v>
      </c>
      <c r="D53" s="83">
        <v>0</v>
      </c>
      <c r="E53" s="83">
        <v>0</v>
      </c>
      <c r="F53" s="83">
        <v>0</v>
      </c>
      <c r="G53" s="81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1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s="57" customFormat="1" ht="15.75" customHeight="1">
      <c r="A54" s="1" t="s">
        <v>87</v>
      </c>
      <c r="B54" s="1" t="s">
        <v>88</v>
      </c>
      <c r="C54" s="82">
        <v>17879</v>
      </c>
      <c r="D54" s="83">
        <v>0</v>
      </c>
      <c r="E54" s="83">
        <v>0</v>
      </c>
      <c r="F54" s="83">
        <v>0</v>
      </c>
      <c r="G54" s="81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2</v>
      </c>
      <c r="Q54" s="83">
        <v>2</v>
      </c>
      <c r="R54" s="83">
        <v>1</v>
      </c>
      <c r="S54" s="83">
        <v>1</v>
      </c>
      <c r="T54" s="83">
        <v>1</v>
      </c>
      <c r="U54" s="83">
        <v>1</v>
      </c>
      <c r="V54" s="83">
        <v>0</v>
      </c>
      <c r="W54" s="83">
        <v>1</v>
      </c>
      <c r="X54" s="83">
        <v>1</v>
      </c>
      <c r="Y54" s="83">
        <v>1</v>
      </c>
      <c r="Z54" s="83">
        <v>0</v>
      </c>
      <c r="AA54" s="83">
        <v>0</v>
      </c>
      <c r="AB54" s="83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s="57" customFormat="1" ht="15.75" customHeight="1">
      <c r="A55" s="1" t="s">
        <v>89</v>
      </c>
      <c r="B55" s="1" t="s">
        <v>65</v>
      </c>
      <c r="C55" s="82">
        <v>17879</v>
      </c>
      <c r="D55" s="83">
        <v>0</v>
      </c>
      <c r="E55" s="83">
        <v>0</v>
      </c>
      <c r="F55" s="83">
        <v>0</v>
      </c>
      <c r="G55" s="81">
        <v>0</v>
      </c>
      <c r="H55" s="83">
        <v>0</v>
      </c>
      <c r="I55" s="83">
        <v>0</v>
      </c>
      <c r="J55" s="83">
        <v>0</v>
      </c>
      <c r="K55" s="83">
        <v>0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1</v>
      </c>
      <c r="R55" s="83">
        <v>0</v>
      </c>
      <c r="S55" s="83">
        <v>0</v>
      </c>
      <c r="T55" s="83">
        <v>0</v>
      </c>
      <c r="U55" s="83">
        <v>0</v>
      </c>
      <c r="V55" s="83">
        <v>0</v>
      </c>
      <c r="W55" s="83">
        <v>0</v>
      </c>
      <c r="X55" s="83">
        <v>0</v>
      </c>
      <c r="Y55" s="83">
        <v>0</v>
      </c>
      <c r="Z55" s="83">
        <v>0</v>
      </c>
      <c r="AA55" s="83">
        <v>0</v>
      </c>
      <c r="AB55" s="83">
        <v>0</v>
      </c>
      <c r="AC55" s="1">
        <v>1</v>
      </c>
      <c r="AD55" s="1">
        <v>2</v>
      </c>
      <c r="AE55" s="1">
        <v>1</v>
      </c>
      <c r="AF55" s="1">
        <v>0</v>
      </c>
    </row>
    <row r="56" spans="1:32" s="57" customFormat="1" ht="15.75" customHeight="1">
      <c r="A56" s="1" t="s">
        <v>90</v>
      </c>
      <c r="B56" s="1" t="s">
        <v>73</v>
      </c>
      <c r="C56" s="82">
        <v>17890</v>
      </c>
      <c r="D56" s="83">
        <v>0</v>
      </c>
      <c r="E56" s="83">
        <v>0</v>
      </c>
      <c r="F56" s="83">
        <v>0</v>
      </c>
      <c r="G56" s="81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1</v>
      </c>
      <c r="O56" s="83">
        <v>2</v>
      </c>
      <c r="P56" s="83">
        <v>0</v>
      </c>
      <c r="Q56" s="83">
        <v>0</v>
      </c>
      <c r="R56" s="83">
        <v>3</v>
      </c>
      <c r="S56" s="83">
        <v>0</v>
      </c>
      <c r="T56" s="83">
        <v>0</v>
      </c>
      <c r="U56" s="83">
        <v>1</v>
      </c>
      <c r="V56" s="83">
        <v>0</v>
      </c>
      <c r="W56" s="83">
        <v>0</v>
      </c>
      <c r="X56" s="83">
        <v>0</v>
      </c>
      <c r="Y56" s="83">
        <v>0</v>
      </c>
      <c r="Z56" s="83">
        <v>2</v>
      </c>
      <c r="AA56" s="83">
        <v>2</v>
      </c>
      <c r="AB56" s="83">
        <v>1</v>
      </c>
      <c r="AC56" s="1">
        <v>0</v>
      </c>
      <c r="AD56" s="1">
        <v>4</v>
      </c>
      <c r="AE56" s="1">
        <v>1</v>
      </c>
      <c r="AF56" s="1">
        <v>0</v>
      </c>
    </row>
    <row r="57" spans="1:32" s="57" customFormat="1" ht="15.75" customHeight="1">
      <c r="A57" s="1" t="s">
        <v>91</v>
      </c>
      <c r="B57" s="1" t="s">
        <v>65</v>
      </c>
      <c r="C57" s="82">
        <v>18290</v>
      </c>
      <c r="D57" s="83">
        <v>0</v>
      </c>
      <c r="E57" s="83">
        <v>0</v>
      </c>
      <c r="F57" s="83">
        <v>0</v>
      </c>
      <c r="G57" s="81">
        <v>0</v>
      </c>
      <c r="H57" s="83">
        <v>0</v>
      </c>
      <c r="I57" s="83">
        <v>0</v>
      </c>
      <c r="J57" s="83">
        <v>0</v>
      </c>
      <c r="K57" s="83">
        <v>0</v>
      </c>
      <c r="L57" s="83">
        <v>0</v>
      </c>
      <c r="M57" s="83">
        <v>0</v>
      </c>
      <c r="N57" s="83">
        <v>0</v>
      </c>
      <c r="O57" s="83">
        <v>0</v>
      </c>
      <c r="P57" s="83">
        <v>0</v>
      </c>
      <c r="Q57" s="83">
        <v>0</v>
      </c>
      <c r="R57" s="83">
        <v>0</v>
      </c>
      <c r="S57" s="83">
        <v>0</v>
      </c>
      <c r="T57" s="83">
        <v>0</v>
      </c>
      <c r="U57" s="83">
        <v>1</v>
      </c>
      <c r="V57" s="83">
        <v>0</v>
      </c>
      <c r="W57" s="83">
        <v>1</v>
      </c>
      <c r="X57" s="83">
        <v>1</v>
      </c>
      <c r="Y57" s="83">
        <v>1</v>
      </c>
      <c r="Z57" s="83">
        <v>2</v>
      </c>
      <c r="AA57" s="83">
        <v>3</v>
      </c>
      <c r="AB57" s="83">
        <v>8</v>
      </c>
      <c r="AC57" s="1">
        <v>4</v>
      </c>
      <c r="AD57" s="1">
        <v>3</v>
      </c>
      <c r="AE57" s="1">
        <v>6</v>
      </c>
      <c r="AF57" s="1">
        <v>2</v>
      </c>
    </row>
    <row r="58" spans="1:32" s="57" customFormat="1" ht="15.75" customHeight="1">
      <c r="A58" s="1" t="s">
        <v>92</v>
      </c>
      <c r="B58" s="1" t="s">
        <v>48</v>
      </c>
      <c r="C58" s="82">
        <v>18742</v>
      </c>
      <c r="D58" s="83">
        <v>0</v>
      </c>
      <c r="E58" s="83">
        <v>0</v>
      </c>
      <c r="F58" s="83">
        <v>0</v>
      </c>
      <c r="G58" s="81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1</v>
      </c>
      <c r="AC58" s="1">
        <v>0</v>
      </c>
      <c r="AD58" s="1">
        <v>1</v>
      </c>
      <c r="AE58" s="1">
        <v>0</v>
      </c>
      <c r="AF58" s="1">
        <v>6</v>
      </c>
    </row>
    <row r="59" spans="1:32" s="57" customFormat="1" ht="15.75" customHeight="1">
      <c r="A59" s="1" t="s">
        <v>93</v>
      </c>
      <c r="B59" s="1" t="s">
        <v>43</v>
      </c>
      <c r="C59" s="82">
        <v>18743</v>
      </c>
      <c r="D59" s="83">
        <v>0</v>
      </c>
      <c r="E59" s="83">
        <v>0</v>
      </c>
      <c r="F59" s="83">
        <v>0</v>
      </c>
      <c r="G59" s="81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1</v>
      </c>
      <c r="S59" s="83">
        <v>0</v>
      </c>
      <c r="T59" s="83">
        <v>1</v>
      </c>
      <c r="U59" s="83">
        <v>0</v>
      </c>
      <c r="V59" s="83">
        <v>0</v>
      </c>
      <c r="W59" s="83">
        <v>2</v>
      </c>
      <c r="X59" s="83">
        <v>0</v>
      </c>
      <c r="Y59" s="83">
        <v>4</v>
      </c>
      <c r="Z59" s="83">
        <v>6</v>
      </c>
      <c r="AA59" s="83">
        <v>3</v>
      </c>
      <c r="AB59" s="83">
        <v>2</v>
      </c>
      <c r="AC59" s="1">
        <v>4</v>
      </c>
      <c r="AD59" s="1">
        <v>0</v>
      </c>
      <c r="AE59" s="1">
        <v>1</v>
      </c>
      <c r="AF59" s="1">
        <v>2</v>
      </c>
    </row>
    <row r="60" spans="1:32" s="57" customFormat="1" ht="15.75" customHeight="1">
      <c r="A60" s="1" t="s">
        <v>94</v>
      </c>
      <c r="B60" s="1" t="s">
        <v>73</v>
      </c>
      <c r="C60" s="82">
        <v>19165</v>
      </c>
      <c r="D60" s="83">
        <v>0</v>
      </c>
      <c r="E60" s="83">
        <v>0</v>
      </c>
      <c r="F60" s="83">
        <v>0</v>
      </c>
      <c r="G60" s="81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1</v>
      </c>
      <c r="Q60" s="83">
        <v>0</v>
      </c>
      <c r="R60" s="83">
        <v>1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1</v>
      </c>
      <c r="Z60" s="83">
        <v>1</v>
      </c>
      <c r="AA60" s="83">
        <v>2</v>
      </c>
      <c r="AB60" s="83">
        <v>2</v>
      </c>
      <c r="AC60" s="1">
        <v>2</v>
      </c>
      <c r="AD60" s="1">
        <v>1</v>
      </c>
      <c r="AE60" s="1">
        <v>2</v>
      </c>
      <c r="AF60" s="1">
        <v>2</v>
      </c>
    </row>
    <row r="61" spans="1:32" s="57" customFormat="1" ht="15.75" customHeight="1">
      <c r="A61" s="1" t="s">
        <v>95</v>
      </c>
      <c r="B61" s="1" t="s">
        <v>43</v>
      </c>
      <c r="C61" s="82">
        <v>19320</v>
      </c>
      <c r="D61" s="83">
        <v>0</v>
      </c>
      <c r="E61" s="83">
        <v>0</v>
      </c>
      <c r="F61" s="83">
        <v>0</v>
      </c>
      <c r="G61" s="81">
        <v>0</v>
      </c>
      <c r="H61" s="83">
        <v>0</v>
      </c>
      <c r="I61" s="83">
        <v>0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0</v>
      </c>
      <c r="Q61" s="83">
        <v>1</v>
      </c>
      <c r="R61" s="83">
        <v>1</v>
      </c>
      <c r="S61" s="83">
        <v>0</v>
      </c>
      <c r="T61" s="83">
        <v>1</v>
      </c>
      <c r="U61" s="83">
        <v>0</v>
      </c>
      <c r="V61" s="83">
        <v>0</v>
      </c>
      <c r="W61" s="83">
        <v>0</v>
      </c>
      <c r="X61" s="83">
        <v>0</v>
      </c>
      <c r="Y61" s="83">
        <v>1</v>
      </c>
      <c r="Z61" s="83">
        <v>0</v>
      </c>
      <c r="AA61" s="83">
        <v>0</v>
      </c>
      <c r="AB61" s="83">
        <v>0</v>
      </c>
      <c r="AC61" s="1">
        <v>0</v>
      </c>
      <c r="AD61" s="1">
        <v>0</v>
      </c>
      <c r="AE61" s="1">
        <v>0</v>
      </c>
      <c r="AF61" s="1">
        <v>1</v>
      </c>
    </row>
    <row r="62" spans="1:32" s="57" customFormat="1" ht="15.75" customHeight="1">
      <c r="A62" s="1" t="s">
        <v>96</v>
      </c>
      <c r="B62" s="1" t="s">
        <v>48</v>
      </c>
      <c r="C62" s="82">
        <v>19335</v>
      </c>
      <c r="D62" s="83">
        <v>0</v>
      </c>
      <c r="E62" s="83">
        <v>0</v>
      </c>
      <c r="F62" s="83">
        <v>0</v>
      </c>
      <c r="G62" s="81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3">
        <v>0</v>
      </c>
      <c r="S62" s="83">
        <v>0</v>
      </c>
      <c r="T62" s="83">
        <v>0</v>
      </c>
      <c r="U62" s="83">
        <v>0</v>
      </c>
      <c r="V62" s="83">
        <v>0</v>
      </c>
      <c r="W62" s="83">
        <v>0</v>
      </c>
      <c r="X62" s="83">
        <v>1</v>
      </c>
      <c r="Y62" s="83">
        <v>5</v>
      </c>
      <c r="Z62" s="83">
        <v>4</v>
      </c>
      <c r="AA62" s="83">
        <v>6</v>
      </c>
      <c r="AB62" s="83">
        <v>4</v>
      </c>
      <c r="AC62" s="1">
        <v>5</v>
      </c>
      <c r="AD62" s="1">
        <v>2</v>
      </c>
      <c r="AE62" s="1">
        <v>3</v>
      </c>
      <c r="AF62" s="1">
        <v>5</v>
      </c>
    </row>
    <row r="63" spans="1:32" s="57" customFormat="1" ht="15.75" customHeight="1">
      <c r="A63" s="1" t="s">
        <v>97</v>
      </c>
      <c r="B63" s="1" t="s">
        <v>78</v>
      </c>
      <c r="C63" s="82">
        <v>19354</v>
      </c>
      <c r="D63" s="83">
        <v>0</v>
      </c>
      <c r="E63" s="83">
        <v>0</v>
      </c>
      <c r="F63" s="83">
        <v>0</v>
      </c>
      <c r="G63" s="81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3">
        <v>0</v>
      </c>
      <c r="S63" s="83">
        <v>0</v>
      </c>
      <c r="T63" s="83">
        <v>0</v>
      </c>
      <c r="U63" s="83">
        <v>0</v>
      </c>
      <c r="V63" s="83">
        <v>0</v>
      </c>
      <c r="W63" s="83">
        <v>0</v>
      </c>
      <c r="X63" s="83">
        <v>0</v>
      </c>
      <c r="Y63" s="83">
        <v>2</v>
      </c>
      <c r="Z63" s="83">
        <v>1</v>
      </c>
      <c r="AA63" s="83">
        <v>1</v>
      </c>
      <c r="AB63" s="83">
        <v>2</v>
      </c>
      <c r="AC63" s="1">
        <v>1</v>
      </c>
      <c r="AD63" s="1">
        <v>0</v>
      </c>
      <c r="AE63" s="1">
        <v>2</v>
      </c>
      <c r="AF63" s="1">
        <v>4</v>
      </c>
    </row>
    <row r="64" spans="1:32" s="57" customFormat="1" ht="15.75" customHeight="1">
      <c r="A64" s="1" t="s">
        <v>98</v>
      </c>
      <c r="B64" s="1" t="s">
        <v>73</v>
      </c>
      <c r="C64" s="82">
        <v>19834</v>
      </c>
      <c r="D64" s="83">
        <v>0</v>
      </c>
      <c r="E64" s="83">
        <v>2</v>
      </c>
      <c r="F64" s="83">
        <v>9</v>
      </c>
      <c r="G64" s="81">
        <v>0</v>
      </c>
      <c r="H64" s="83">
        <v>0</v>
      </c>
      <c r="I64" s="83">
        <v>0</v>
      </c>
      <c r="J64" s="83">
        <v>0</v>
      </c>
      <c r="K64" s="83">
        <v>0</v>
      </c>
      <c r="L64" s="83">
        <v>0</v>
      </c>
      <c r="M64" s="83">
        <v>0</v>
      </c>
      <c r="N64" s="83">
        <v>1</v>
      </c>
      <c r="O64" s="83">
        <v>0</v>
      </c>
      <c r="P64" s="83">
        <v>0</v>
      </c>
      <c r="Q64" s="83">
        <v>0</v>
      </c>
      <c r="R64" s="83">
        <v>1</v>
      </c>
      <c r="S64" s="83">
        <v>4</v>
      </c>
      <c r="T64" s="83">
        <v>8</v>
      </c>
      <c r="U64" s="83">
        <v>13</v>
      </c>
      <c r="V64" s="83">
        <v>20</v>
      </c>
      <c r="W64" s="83">
        <v>0</v>
      </c>
      <c r="X64" s="83">
        <v>0</v>
      </c>
      <c r="Y64" s="83">
        <v>31</v>
      </c>
      <c r="Z64" s="83">
        <v>25</v>
      </c>
      <c r="AA64" s="83">
        <v>29</v>
      </c>
      <c r="AB64" s="83">
        <v>27</v>
      </c>
      <c r="AC64" s="1">
        <v>24</v>
      </c>
      <c r="AD64" s="1">
        <v>14</v>
      </c>
      <c r="AE64" s="1">
        <v>11</v>
      </c>
      <c r="AF64" s="1">
        <v>15</v>
      </c>
    </row>
    <row r="65" spans="1:32" s="57" customFormat="1" ht="15.75" customHeight="1">
      <c r="A65" s="1" t="s">
        <v>99</v>
      </c>
      <c r="B65" s="1" t="s">
        <v>43</v>
      </c>
      <c r="C65" s="82">
        <v>19886</v>
      </c>
      <c r="D65" s="83">
        <v>0</v>
      </c>
      <c r="E65" s="83">
        <v>0</v>
      </c>
      <c r="F65" s="83">
        <v>0</v>
      </c>
      <c r="G65" s="81">
        <v>0</v>
      </c>
      <c r="H65" s="83">
        <v>0</v>
      </c>
      <c r="I65" s="83">
        <v>0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0</v>
      </c>
      <c r="Q65" s="83">
        <v>1</v>
      </c>
      <c r="R65" s="83">
        <v>1</v>
      </c>
      <c r="S65" s="83">
        <v>2</v>
      </c>
      <c r="T65" s="83">
        <v>2</v>
      </c>
      <c r="U65" s="83">
        <v>0</v>
      </c>
      <c r="V65" s="83">
        <v>4</v>
      </c>
      <c r="W65" s="83">
        <v>0</v>
      </c>
      <c r="X65" s="83">
        <v>0</v>
      </c>
      <c r="Y65" s="83">
        <v>3</v>
      </c>
      <c r="Z65" s="83">
        <v>3</v>
      </c>
      <c r="AA65" s="83">
        <v>8</v>
      </c>
      <c r="AB65" s="83">
        <v>7</v>
      </c>
      <c r="AC65" s="1">
        <v>7</v>
      </c>
      <c r="AD65" s="1">
        <v>7</v>
      </c>
      <c r="AE65" s="1">
        <v>8</v>
      </c>
      <c r="AF65" s="1">
        <v>4</v>
      </c>
    </row>
    <row r="66" spans="1:32" s="57" customFormat="1" ht="15.75" customHeight="1">
      <c r="A66" s="1" t="s">
        <v>100</v>
      </c>
      <c r="B66" s="1" t="s">
        <v>62</v>
      </c>
      <c r="C66" s="82">
        <v>19893</v>
      </c>
      <c r="D66" s="83">
        <v>0</v>
      </c>
      <c r="E66" s="83">
        <v>0</v>
      </c>
      <c r="F66" s="83">
        <v>0</v>
      </c>
      <c r="G66" s="81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0</v>
      </c>
      <c r="R66" s="83">
        <v>0</v>
      </c>
      <c r="S66" s="83">
        <v>0</v>
      </c>
      <c r="T66" s="83">
        <v>0</v>
      </c>
      <c r="U66" s="83">
        <v>0</v>
      </c>
      <c r="V66" s="83">
        <v>0</v>
      </c>
      <c r="W66" s="83">
        <v>1</v>
      </c>
      <c r="X66" s="83">
        <v>0</v>
      </c>
      <c r="Y66" s="83">
        <v>0</v>
      </c>
      <c r="Z66" s="83">
        <v>0</v>
      </c>
      <c r="AA66" s="83">
        <v>0</v>
      </c>
      <c r="AB66" s="83">
        <v>1</v>
      </c>
      <c r="AC66" s="1">
        <v>0</v>
      </c>
      <c r="AD66" s="1">
        <v>2</v>
      </c>
      <c r="AE66" s="1">
        <v>1</v>
      </c>
      <c r="AF66" s="1">
        <v>5</v>
      </c>
    </row>
    <row r="67" spans="1:32" s="57" customFormat="1" ht="15.75" customHeight="1">
      <c r="A67" s="1" t="s">
        <v>101</v>
      </c>
      <c r="B67" s="1" t="s">
        <v>102</v>
      </c>
      <c r="C67" s="82">
        <v>19985</v>
      </c>
      <c r="D67" s="83">
        <v>0</v>
      </c>
      <c r="E67" s="83">
        <v>0</v>
      </c>
      <c r="F67" s="83">
        <v>0</v>
      </c>
      <c r="G67" s="81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3">
        <v>0</v>
      </c>
      <c r="S67" s="83">
        <v>0</v>
      </c>
      <c r="T67" s="83">
        <v>0</v>
      </c>
      <c r="U67" s="83">
        <v>0</v>
      </c>
      <c r="V67" s="83">
        <v>0</v>
      </c>
      <c r="W67" s="83">
        <v>0</v>
      </c>
      <c r="X67" s="83">
        <v>0</v>
      </c>
      <c r="Y67" s="83">
        <v>1</v>
      </c>
      <c r="Z67" s="83">
        <v>2</v>
      </c>
      <c r="AA67" s="83">
        <v>0</v>
      </c>
      <c r="AB67" s="83">
        <v>0</v>
      </c>
      <c r="AC67" s="1">
        <v>1</v>
      </c>
      <c r="AD67" s="1">
        <v>2</v>
      </c>
      <c r="AE67" s="1">
        <v>5</v>
      </c>
      <c r="AF67" s="1">
        <v>2</v>
      </c>
    </row>
    <row r="68" spans="1:32" s="57" customFormat="1" ht="15.75" customHeight="1">
      <c r="A68" s="1" t="s">
        <v>103</v>
      </c>
      <c r="B68" s="1" t="s">
        <v>73</v>
      </c>
      <c r="C68" s="82">
        <v>20359</v>
      </c>
      <c r="D68" s="83">
        <v>0</v>
      </c>
      <c r="E68" s="83">
        <v>0</v>
      </c>
      <c r="F68" s="83">
        <v>0</v>
      </c>
      <c r="G68" s="81">
        <v>0</v>
      </c>
      <c r="H68" s="83">
        <v>0</v>
      </c>
      <c r="I68" s="83">
        <v>0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0</v>
      </c>
      <c r="Q68" s="83">
        <v>0</v>
      </c>
      <c r="R68" s="83">
        <v>0</v>
      </c>
      <c r="S68" s="83">
        <v>0</v>
      </c>
      <c r="T68" s="83">
        <v>0</v>
      </c>
      <c r="U68" s="83">
        <v>0</v>
      </c>
      <c r="V68" s="83">
        <v>0</v>
      </c>
      <c r="W68" s="83">
        <v>0</v>
      </c>
      <c r="X68" s="83">
        <v>0</v>
      </c>
      <c r="Y68" s="83">
        <v>0</v>
      </c>
      <c r="Z68" s="83">
        <v>0</v>
      </c>
      <c r="AA68" s="83">
        <v>1</v>
      </c>
      <c r="AB68" s="83">
        <v>0</v>
      </c>
      <c r="AC68" s="1">
        <v>0</v>
      </c>
      <c r="AD68" s="1">
        <v>0</v>
      </c>
      <c r="AE68" s="1">
        <v>0</v>
      </c>
      <c r="AF68" s="1">
        <v>1</v>
      </c>
    </row>
    <row r="69" spans="1:32" s="57" customFormat="1" ht="15.75" customHeight="1">
      <c r="A69" s="1" t="s">
        <v>104</v>
      </c>
      <c r="B69" s="1" t="s">
        <v>43</v>
      </c>
      <c r="C69" s="82">
        <v>20400</v>
      </c>
      <c r="D69" s="83">
        <v>0</v>
      </c>
      <c r="E69" s="83">
        <v>0</v>
      </c>
      <c r="F69" s="83">
        <v>0</v>
      </c>
      <c r="G69" s="81">
        <v>0</v>
      </c>
      <c r="H69" s="83">
        <v>0</v>
      </c>
      <c r="I69" s="83">
        <v>0</v>
      </c>
      <c r="J69" s="83">
        <v>0</v>
      </c>
      <c r="K69" s="83">
        <v>0</v>
      </c>
      <c r="L69" s="83">
        <v>0</v>
      </c>
      <c r="M69" s="83">
        <v>0</v>
      </c>
      <c r="N69" s="83">
        <v>0</v>
      </c>
      <c r="O69" s="83">
        <v>0</v>
      </c>
      <c r="P69" s="83">
        <v>0</v>
      </c>
      <c r="Q69" s="83">
        <v>0</v>
      </c>
      <c r="R69" s="83">
        <v>1</v>
      </c>
      <c r="S69" s="83">
        <v>9</v>
      </c>
      <c r="T69" s="83">
        <v>9</v>
      </c>
      <c r="U69" s="83">
        <v>0</v>
      </c>
      <c r="V69" s="83">
        <v>0</v>
      </c>
      <c r="W69" s="83">
        <v>3</v>
      </c>
      <c r="X69" s="83">
        <v>9</v>
      </c>
      <c r="Y69" s="83">
        <v>8</v>
      </c>
      <c r="Z69" s="83">
        <v>8</v>
      </c>
      <c r="AA69" s="83">
        <v>7</v>
      </c>
      <c r="AB69" s="83">
        <v>7</v>
      </c>
      <c r="AC69" s="1">
        <v>14</v>
      </c>
      <c r="AD69" s="1">
        <v>11</v>
      </c>
      <c r="AE69" s="1">
        <v>13</v>
      </c>
      <c r="AF69" s="1">
        <v>10</v>
      </c>
    </row>
    <row r="70" spans="1:32" s="57" customFormat="1" ht="15.75" customHeight="1">
      <c r="A70" s="1" t="s">
        <v>105</v>
      </c>
      <c r="B70" s="1" t="s">
        <v>106</v>
      </c>
      <c r="C70" s="82">
        <v>20455</v>
      </c>
      <c r="D70" s="83">
        <v>0</v>
      </c>
      <c r="E70" s="83">
        <v>0</v>
      </c>
      <c r="F70" s="83">
        <v>0</v>
      </c>
      <c r="G70" s="83">
        <v>0</v>
      </c>
      <c r="H70" s="83">
        <v>0</v>
      </c>
      <c r="I70" s="83">
        <v>0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0</v>
      </c>
      <c r="Q70" s="83">
        <v>0</v>
      </c>
      <c r="R70" s="83">
        <v>0</v>
      </c>
      <c r="S70" s="83">
        <v>0</v>
      </c>
      <c r="T70" s="83">
        <v>0</v>
      </c>
      <c r="U70" s="83">
        <v>0</v>
      </c>
      <c r="V70" s="83">
        <v>0</v>
      </c>
      <c r="W70" s="83">
        <v>0</v>
      </c>
      <c r="X70" s="83">
        <v>0</v>
      </c>
      <c r="Y70" s="83">
        <v>0</v>
      </c>
      <c r="Z70" s="83">
        <v>0</v>
      </c>
      <c r="AA70" s="83">
        <v>0</v>
      </c>
      <c r="AB70" s="83">
        <v>0</v>
      </c>
      <c r="AC70" s="83">
        <v>0</v>
      </c>
      <c r="AD70" s="83">
        <v>0</v>
      </c>
      <c r="AE70" s="83">
        <v>0</v>
      </c>
      <c r="AF70" s="1">
        <v>2</v>
      </c>
    </row>
    <row r="71" spans="1:32" s="57" customFormat="1" ht="15.75" customHeight="1">
      <c r="A71" s="1" t="s">
        <v>107</v>
      </c>
      <c r="B71" s="1" t="s">
        <v>43</v>
      </c>
      <c r="C71" s="82">
        <v>20473</v>
      </c>
      <c r="D71" s="83">
        <v>0</v>
      </c>
      <c r="E71" s="83">
        <v>0</v>
      </c>
      <c r="F71" s="83">
        <v>0</v>
      </c>
      <c r="G71" s="81">
        <v>8</v>
      </c>
      <c r="H71" s="83">
        <v>0</v>
      </c>
      <c r="I71" s="83">
        <v>0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0</v>
      </c>
      <c r="Q71" s="83">
        <v>0</v>
      </c>
      <c r="R71" s="83">
        <v>0</v>
      </c>
      <c r="S71" s="83">
        <v>2</v>
      </c>
      <c r="T71" s="83">
        <v>2</v>
      </c>
      <c r="U71" s="83">
        <v>0</v>
      </c>
      <c r="V71" s="83">
        <v>1</v>
      </c>
      <c r="W71" s="83">
        <v>0</v>
      </c>
      <c r="X71" s="83">
        <v>0</v>
      </c>
      <c r="Y71" s="83">
        <v>0</v>
      </c>
      <c r="Z71" s="83">
        <v>1</v>
      </c>
      <c r="AA71" s="83">
        <v>0</v>
      </c>
      <c r="AB71" s="83">
        <v>0</v>
      </c>
      <c r="AC71" s="1">
        <v>0</v>
      </c>
      <c r="AD71" s="1">
        <v>1</v>
      </c>
      <c r="AE71" s="1">
        <v>0</v>
      </c>
      <c r="AF71" s="1">
        <v>4</v>
      </c>
    </row>
    <row r="72" spans="1:32" s="57" customFormat="1" ht="15.75" customHeight="1">
      <c r="A72" s="1" t="s">
        <v>108</v>
      </c>
      <c r="B72" s="1" t="s">
        <v>48</v>
      </c>
      <c r="C72" s="82">
        <v>20855</v>
      </c>
      <c r="D72" s="83">
        <v>0</v>
      </c>
      <c r="E72" s="83">
        <v>0</v>
      </c>
      <c r="F72" s="83">
        <v>0</v>
      </c>
      <c r="G72" s="81">
        <v>0</v>
      </c>
      <c r="H72" s="83">
        <v>0</v>
      </c>
      <c r="I72" s="83">
        <v>0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0</v>
      </c>
      <c r="Q72" s="83">
        <v>0</v>
      </c>
      <c r="R72" s="83">
        <v>0</v>
      </c>
      <c r="S72" s="83">
        <v>0</v>
      </c>
      <c r="T72" s="83">
        <v>5</v>
      </c>
      <c r="U72" s="83">
        <v>2</v>
      </c>
      <c r="V72" s="83">
        <v>5</v>
      </c>
      <c r="W72" s="83">
        <v>0</v>
      </c>
      <c r="X72" s="83">
        <v>0</v>
      </c>
      <c r="Y72" s="83">
        <v>9</v>
      </c>
      <c r="Z72" s="83">
        <v>5</v>
      </c>
      <c r="AA72" s="83">
        <v>4</v>
      </c>
      <c r="AB72" s="83">
        <v>0</v>
      </c>
      <c r="AC72" s="1">
        <v>6</v>
      </c>
      <c r="AD72" s="1">
        <v>6</v>
      </c>
      <c r="AE72" s="1">
        <v>7</v>
      </c>
      <c r="AF72" s="1">
        <v>0</v>
      </c>
    </row>
    <row r="73" spans="1:32" s="57" customFormat="1" ht="15.75" customHeight="1">
      <c r="A73" s="1" t="s">
        <v>109</v>
      </c>
      <c r="B73" s="1" t="s">
        <v>43</v>
      </c>
      <c r="C73" s="82">
        <v>21100</v>
      </c>
      <c r="D73" s="83">
        <v>0</v>
      </c>
      <c r="E73" s="83">
        <v>0</v>
      </c>
      <c r="F73" s="83">
        <v>0</v>
      </c>
      <c r="G73" s="81">
        <v>4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0</v>
      </c>
      <c r="R73" s="83">
        <v>2</v>
      </c>
      <c r="S73" s="83">
        <v>2</v>
      </c>
      <c r="T73" s="83">
        <v>1</v>
      </c>
      <c r="U73" s="83">
        <v>0</v>
      </c>
      <c r="V73" s="83">
        <v>0</v>
      </c>
      <c r="W73" s="83">
        <v>0</v>
      </c>
      <c r="X73" s="83">
        <v>0</v>
      </c>
      <c r="Y73" s="83">
        <v>0</v>
      </c>
      <c r="Z73" s="83">
        <v>1</v>
      </c>
      <c r="AA73" s="83">
        <v>0</v>
      </c>
      <c r="AB73" s="83">
        <v>0</v>
      </c>
      <c r="AC73" s="1">
        <v>1</v>
      </c>
      <c r="AD73" s="1">
        <v>3</v>
      </c>
      <c r="AE73" s="1">
        <v>3</v>
      </c>
      <c r="AF73" s="1">
        <v>2</v>
      </c>
    </row>
    <row r="74" spans="1:32" s="57" customFormat="1" ht="15.75" customHeight="1">
      <c r="A74" s="1" t="s">
        <v>110</v>
      </c>
      <c r="B74" s="1" t="s">
        <v>43</v>
      </c>
      <c r="C74" s="82">
        <v>21572</v>
      </c>
      <c r="D74" s="83">
        <v>0</v>
      </c>
      <c r="E74" s="83">
        <v>0</v>
      </c>
      <c r="F74" s="83">
        <v>0</v>
      </c>
      <c r="G74" s="81">
        <v>0</v>
      </c>
      <c r="H74" s="83">
        <v>0</v>
      </c>
      <c r="I74" s="83">
        <v>0</v>
      </c>
      <c r="J74" s="83">
        <v>0</v>
      </c>
      <c r="K74" s="83">
        <v>0</v>
      </c>
      <c r="L74" s="83">
        <v>0</v>
      </c>
      <c r="M74" s="83">
        <v>0</v>
      </c>
      <c r="N74" s="83">
        <v>0</v>
      </c>
      <c r="O74" s="83">
        <v>0</v>
      </c>
      <c r="P74" s="83">
        <v>0</v>
      </c>
      <c r="Q74" s="83">
        <v>1</v>
      </c>
      <c r="R74" s="83">
        <v>0</v>
      </c>
      <c r="S74" s="83">
        <v>0</v>
      </c>
      <c r="T74" s="83">
        <v>0</v>
      </c>
      <c r="U74" s="83">
        <v>0</v>
      </c>
      <c r="V74" s="83">
        <v>0</v>
      </c>
      <c r="W74" s="83">
        <v>2</v>
      </c>
      <c r="X74" s="83">
        <v>3</v>
      </c>
      <c r="Y74" s="83">
        <v>3</v>
      </c>
      <c r="Z74" s="83">
        <v>2</v>
      </c>
      <c r="AA74" s="83">
        <v>5</v>
      </c>
      <c r="AB74" s="83">
        <v>3</v>
      </c>
      <c r="AC74" s="1">
        <v>2</v>
      </c>
      <c r="AD74" s="1">
        <v>1</v>
      </c>
      <c r="AE74" s="1">
        <v>1</v>
      </c>
      <c r="AF74" s="1">
        <v>1</v>
      </c>
    </row>
    <row r="75" spans="1:32" s="57" customFormat="1" ht="15.75" customHeight="1">
      <c r="A75" s="1" t="s">
        <v>111</v>
      </c>
      <c r="B75" s="1" t="s">
        <v>62</v>
      </c>
      <c r="C75" s="82">
        <v>21585</v>
      </c>
      <c r="D75" s="83">
        <v>0</v>
      </c>
      <c r="E75" s="83">
        <v>0</v>
      </c>
      <c r="F75" s="83">
        <v>0</v>
      </c>
      <c r="G75" s="81">
        <v>0</v>
      </c>
      <c r="H75" s="83">
        <v>0</v>
      </c>
      <c r="I75" s="83">
        <v>0</v>
      </c>
      <c r="J75" s="83">
        <v>0</v>
      </c>
      <c r="K75" s="83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83">
        <v>0</v>
      </c>
      <c r="R75" s="83">
        <v>0</v>
      </c>
      <c r="S75" s="83">
        <v>0</v>
      </c>
      <c r="T75" s="83">
        <v>0</v>
      </c>
      <c r="U75" s="83">
        <v>0</v>
      </c>
      <c r="V75" s="83">
        <v>0</v>
      </c>
      <c r="W75" s="83">
        <v>0</v>
      </c>
      <c r="X75" s="83">
        <v>0</v>
      </c>
      <c r="Y75" s="83">
        <v>0</v>
      </c>
      <c r="Z75" s="83">
        <v>1</v>
      </c>
      <c r="AA75" s="83">
        <v>0</v>
      </c>
      <c r="AB75" s="83">
        <v>0</v>
      </c>
      <c r="AC75" s="1">
        <v>1</v>
      </c>
      <c r="AD75" s="1">
        <v>0</v>
      </c>
      <c r="AE75" s="1">
        <v>0</v>
      </c>
      <c r="AF75" s="1">
        <v>3</v>
      </c>
    </row>
    <row r="76" spans="1:32" s="57" customFormat="1" ht="15.75" customHeight="1">
      <c r="A76" s="1" t="s">
        <v>112</v>
      </c>
      <c r="B76" s="1" t="s">
        <v>65</v>
      </c>
      <c r="C76" s="82">
        <v>21712</v>
      </c>
      <c r="D76" s="83">
        <v>0</v>
      </c>
      <c r="E76" s="83">
        <v>0</v>
      </c>
      <c r="F76" s="83">
        <v>0</v>
      </c>
      <c r="G76" s="81">
        <v>0</v>
      </c>
      <c r="H76" s="83">
        <v>0</v>
      </c>
      <c r="I76" s="83">
        <v>0</v>
      </c>
      <c r="J76" s="83">
        <v>0</v>
      </c>
      <c r="K76" s="83">
        <v>0</v>
      </c>
      <c r="L76" s="83">
        <v>0</v>
      </c>
      <c r="M76" s="83">
        <v>0</v>
      </c>
      <c r="N76" s="83">
        <v>0</v>
      </c>
      <c r="O76" s="83">
        <v>0</v>
      </c>
      <c r="P76" s="83">
        <v>0</v>
      </c>
      <c r="Q76" s="83">
        <v>0</v>
      </c>
      <c r="R76" s="83">
        <v>0</v>
      </c>
      <c r="S76" s="83">
        <v>0</v>
      </c>
      <c r="T76" s="83">
        <v>0</v>
      </c>
      <c r="U76" s="83">
        <v>0</v>
      </c>
      <c r="V76" s="83">
        <v>0</v>
      </c>
      <c r="W76" s="83">
        <v>0</v>
      </c>
      <c r="X76" s="83">
        <v>1</v>
      </c>
      <c r="Y76" s="83">
        <v>1</v>
      </c>
      <c r="Z76" s="83">
        <v>0</v>
      </c>
      <c r="AA76" s="83">
        <v>0</v>
      </c>
      <c r="AB76" s="83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s="57" customFormat="1" ht="15.75" customHeight="1">
      <c r="A77" s="1" t="s">
        <v>113</v>
      </c>
      <c r="B77" s="1" t="s">
        <v>28</v>
      </c>
      <c r="C77" s="82">
        <v>21916</v>
      </c>
      <c r="D77" s="83">
        <v>0</v>
      </c>
      <c r="E77" s="83">
        <v>0</v>
      </c>
      <c r="F77" s="83">
        <v>0</v>
      </c>
      <c r="G77" s="83">
        <v>0</v>
      </c>
      <c r="H77" s="83">
        <v>0</v>
      </c>
      <c r="I77" s="83">
        <v>0</v>
      </c>
      <c r="J77" s="83">
        <v>0</v>
      </c>
      <c r="K77" s="83">
        <v>0</v>
      </c>
      <c r="L77" s="83">
        <v>0</v>
      </c>
      <c r="M77" s="83">
        <v>0</v>
      </c>
      <c r="N77" s="83">
        <v>0</v>
      </c>
      <c r="O77" s="83">
        <v>0</v>
      </c>
      <c r="P77" s="83">
        <v>0</v>
      </c>
      <c r="Q77" s="83">
        <v>0</v>
      </c>
      <c r="R77" s="83">
        <v>0</v>
      </c>
      <c r="S77" s="83">
        <v>0</v>
      </c>
      <c r="T77" s="83">
        <v>0</v>
      </c>
      <c r="U77" s="83">
        <v>0</v>
      </c>
      <c r="V77" s="83">
        <v>0</v>
      </c>
      <c r="W77" s="83">
        <v>0</v>
      </c>
      <c r="X77" s="83">
        <v>0</v>
      </c>
      <c r="Y77" s="83">
        <v>0</v>
      </c>
      <c r="Z77" s="83">
        <v>0</v>
      </c>
      <c r="AA77" s="83">
        <v>0</v>
      </c>
      <c r="AB77" s="83">
        <v>0</v>
      </c>
      <c r="AC77" s="83">
        <v>0</v>
      </c>
      <c r="AD77" s="83">
        <v>0</v>
      </c>
      <c r="AE77" s="83">
        <v>0</v>
      </c>
      <c r="AF77" s="1">
        <v>3</v>
      </c>
    </row>
    <row r="78" spans="1:32" s="57" customFormat="1" ht="15.75" customHeight="1">
      <c r="A78" s="1" t="s">
        <v>114</v>
      </c>
      <c r="B78" s="1" t="s">
        <v>48</v>
      </c>
      <c r="C78" s="82">
        <v>22168</v>
      </c>
      <c r="D78" s="83">
        <v>0</v>
      </c>
      <c r="E78" s="83">
        <v>0</v>
      </c>
      <c r="F78" s="83">
        <v>0</v>
      </c>
      <c r="G78" s="81">
        <v>0</v>
      </c>
      <c r="H78" s="83">
        <v>0</v>
      </c>
      <c r="I78" s="83">
        <v>0</v>
      </c>
      <c r="J78" s="83">
        <v>0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0</v>
      </c>
      <c r="S78" s="83">
        <v>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  <c r="Z78" s="83">
        <v>0</v>
      </c>
      <c r="AA78" s="83">
        <v>0</v>
      </c>
      <c r="AB78" s="83">
        <v>5</v>
      </c>
      <c r="AC78" s="1">
        <v>0</v>
      </c>
      <c r="AD78" s="1">
        <v>0</v>
      </c>
      <c r="AE78" s="1">
        <v>0</v>
      </c>
      <c r="AF78" s="1">
        <v>12</v>
      </c>
    </row>
    <row r="79" spans="1:32" s="57" customFormat="1" ht="15.75" customHeight="1">
      <c r="A79" s="1" t="s">
        <v>115</v>
      </c>
      <c r="B79" s="1" t="s">
        <v>28</v>
      </c>
      <c r="C79" s="82">
        <v>22769</v>
      </c>
      <c r="D79" s="83">
        <v>0</v>
      </c>
      <c r="E79" s="83">
        <v>0</v>
      </c>
      <c r="F79" s="83">
        <v>0</v>
      </c>
      <c r="G79" s="81">
        <v>0</v>
      </c>
      <c r="H79" s="83">
        <v>0</v>
      </c>
      <c r="I79" s="83">
        <v>0</v>
      </c>
      <c r="J79" s="83">
        <v>0</v>
      </c>
      <c r="K79" s="83">
        <v>0</v>
      </c>
      <c r="L79" s="83">
        <v>0</v>
      </c>
      <c r="M79" s="83">
        <v>0</v>
      </c>
      <c r="N79" s="83">
        <v>0</v>
      </c>
      <c r="O79" s="83">
        <v>0</v>
      </c>
      <c r="P79" s="83">
        <v>0</v>
      </c>
      <c r="Q79" s="83">
        <v>0</v>
      </c>
      <c r="R79" s="83">
        <v>0</v>
      </c>
      <c r="S79" s="83">
        <v>4</v>
      </c>
      <c r="T79" s="83">
        <v>1</v>
      </c>
      <c r="U79" s="83">
        <v>1</v>
      </c>
      <c r="V79" s="83">
        <v>4</v>
      </c>
      <c r="W79" s="83">
        <v>0</v>
      </c>
      <c r="X79" s="83">
        <v>1</v>
      </c>
      <c r="Y79" s="83">
        <v>2</v>
      </c>
      <c r="Z79" s="83">
        <v>1</v>
      </c>
      <c r="AA79" s="83">
        <v>0</v>
      </c>
      <c r="AB79" s="83">
        <v>1</v>
      </c>
      <c r="AC79" s="1">
        <v>4</v>
      </c>
      <c r="AD79" s="1">
        <v>5</v>
      </c>
      <c r="AE79" s="1">
        <v>2</v>
      </c>
      <c r="AF79" s="1">
        <v>4</v>
      </c>
    </row>
    <row r="80" spans="1:32" s="57" customFormat="1" ht="15.75" customHeight="1">
      <c r="A80" s="1" t="s">
        <v>116</v>
      </c>
      <c r="B80" s="1" t="s">
        <v>43</v>
      </c>
      <c r="C80" s="82">
        <v>23279</v>
      </c>
      <c r="D80" s="83">
        <v>0</v>
      </c>
      <c r="E80" s="83">
        <v>0</v>
      </c>
      <c r="F80" s="83">
        <v>0</v>
      </c>
      <c r="G80" s="81">
        <v>0</v>
      </c>
      <c r="H80" s="83">
        <v>0</v>
      </c>
      <c r="I80" s="83">
        <v>0</v>
      </c>
      <c r="J80" s="83">
        <v>0</v>
      </c>
      <c r="K80" s="83">
        <v>0</v>
      </c>
      <c r="L80" s="83">
        <v>0</v>
      </c>
      <c r="M80" s="83">
        <v>0</v>
      </c>
      <c r="N80" s="83">
        <v>0</v>
      </c>
      <c r="O80" s="83">
        <v>0</v>
      </c>
      <c r="P80" s="83">
        <v>0</v>
      </c>
      <c r="Q80" s="83">
        <v>0</v>
      </c>
      <c r="R80" s="83">
        <v>0</v>
      </c>
      <c r="S80" s="83">
        <v>1</v>
      </c>
      <c r="T80" s="83">
        <v>0</v>
      </c>
      <c r="U80" s="83">
        <v>0</v>
      </c>
      <c r="V80" s="83">
        <v>0</v>
      </c>
      <c r="W80" s="83">
        <v>1</v>
      </c>
      <c r="X80" s="83">
        <v>0</v>
      </c>
      <c r="Y80" s="83">
        <v>0</v>
      </c>
      <c r="Z80" s="83">
        <v>0</v>
      </c>
      <c r="AA80" s="83">
        <v>1</v>
      </c>
      <c r="AB80" s="83">
        <v>1</v>
      </c>
      <c r="AC80" s="1">
        <v>1</v>
      </c>
      <c r="AD80" s="1">
        <v>0</v>
      </c>
      <c r="AE80" s="1">
        <v>0</v>
      </c>
      <c r="AF80" s="1">
        <v>0</v>
      </c>
    </row>
    <row r="81" spans="1:32" s="57" customFormat="1" ht="15.75" customHeight="1">
      <c r="A81" s="1" t="s">
        <v>117</v>
      </c>
      <c r="B81" s="1" t="s">
        <v>43</v>
      </c>
      <c r="C81" s="82">
        <v>23340</v>
      </c>
      <c r="D81" s="83">
        <v>0</v>
      </c>
      <c r="E81" s="83">
        <v>0</v>
      </c>
      <c r="F81" s="83">
        <v>0</v>
      </c>
      <c r="G81" s="81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  <c r="N81" s="83">
        <v>0</v>
      </c>
      <c r="O81" s="83">
        <v>0</v>
      </c>
      <c r="P81" s="83">
        <v>0</v>
      </c>
      <c r="Q81" s="83">
        <v>0</v>
      </c>
      <c r="R81" s="83">
        <v>0</v>
      </c>
      <c r="S81" s="83">
        <v>0</v>
      </c>
      <c r="T81" s="83">
        <v>0</v>
      </c>
      <c r="U81" s="83">
        <v>0</v>
      </c>
      <c r="V81" s="83">
        <v>0</v>
      </c>
      <c r="W81" s="83">
        <v>1</v>
      </c>
      <c r="X81" s="83">
        <v>0</v>
      </c>
      <c r="Y81" s="83">
        <v>0</v>
      </c>
      <c r="Z81" s="83">
        <v>0</v>
      </c>
      <c r="AA81" s="83">
        <v>0</v>
      </c>
      <c r="AB81" s="83">
        <v>0</v>
      </c>
      <c r="AC81" s="1">
        <v>0</v>
      </c>
      <c r="AD81" s="1">
        <v>0</v>
      </c>
      <c r="AE81" s="1">
        <v>2</v>
      </c>
      <c r="AF81" s="1">
        <v>1</v>
      </c>
    </row>
    <row r="82" spans="1:32" s="57" customFormat="1" ht="15.75" customHeight="1">
      <c r="A82" s="1" t="s">
        <v>118</v>
      </c>
      <c r="B82" s="1" t="s">
        <v>43</v>
      </c>
      <c r="C82" s="82">
        <v>23353</v>
      </c>
      <c r="D82" s="83">
        <v>0</v>
      </c>
      <c r="E82" s="83">
        <v>0</v>
      </c>
      <c r="F82" s="83">
        <v>0</v>
      </c>
      <c r="G82" s="81">
        <v>0</v>
      </c>
      <c r="H82" s="83">
        <v>0</v>
      </c>
      <c r="I82" s="83">
        <v>0</v>
      </c>
      <c r="J82" s="83">
        <v>0</v>
      </c>
      <c r="K82" s="83">
        <v>0</v>
      </c>
      <c r="L82" s="83">
        <v>0</v>
      </c>
      <c r="M82" s="83">
        <v>0</v>
      </c>
      <c r="N82" s="83">
        <v>0</v>
      </c>
      <c r="O82" s="83">
        <v>0</v>
      </c>
      <c r="P82" s="83">
        <v>0</v>
      </c>
      <c r="Q82" s="83">
        <v>0</v>
      </c>
      <c r="R82" s="83">
        <v>0</v>
      </c>
      <c r="S82" s="83">
        <v>0</v>
      </c>
      <c r="T82" s="83">
        <v>0</v>
      </c>
      <c r="U82" s="83">
        <v>0</v>
      </c>
      <c r="V82" s="83">
        <v>0</v>
      </c>
      <c r="W82" s="83">
        <v>0</v>
      </c>
      <c r="X82" s="83">
        <v>1</v>
      </c>
      <c r="Y82" s="83">
        <v>0</v>
      </c>
      <c r="Z82" s="83">
        <v>0</v>
      </c>
      <c r="AA82" s="83">
        <v>0</v>
      </c>
      <c r="AB82" s="83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s="57" customFormat="1" ht="15.75" customHeight="1">
      <c r="A83" s="1" t="s">
        <v>119</v>
      </c>
      <c r="B83" s="1" t="s">
        <v>43</v>
      </c>
      <c r="C83" s="82">
        <v>23593</v>
      </c>
      <c r="D83" s="83">
        <v>0</v>
      </c>
      <c r="E83" s="83">
        <v>0</v>
      </c>
      <c r="F83" s="83">
        <v>0</v>
      </c>
      <c r="G83" s="81">
        <v>0</v>
      </c>
      <c r="H83" s="83">
        <v>0</v>
      </c>
      <c r="I83" s="83">
        <v>0</v>
      </c>
      <c r="J83" s="83">
        <v>0</v>
      </c>
      <c r="K83" s="83">
        <v>0</v>
      </c>
      <c r="L83" s="83">
        <v>0</v>
      </c>
      <c r="M83" s="83">
        <v>0</v>
      </c>
      <c r="N83" s="83">
        <v>0</v>
      </c>
      <c r="O83" s="83">
        <v>0</v>
      </c>
      <c r="P83" s="83">
        <v>0</v>
      </c>
      <c r="Q83" s="83">
        <v>0</v>
      </c>
      <c r="R83" s="83">
        <v>0</v>
      </c>
      <c r="S83" s="83">
        <v>0</v>
      </c>
      <c r="T83" s="83">
        <v>1</v>
      </c>
      <c r="U83" s="83">
        <v>0</v>
      </c>
      <c r="V83" s="83">
        <v>0</v>
      </c>
      <c r="W83" s="83">
        <v>0</v>
      </c>
      <c r="X83" s="83">
        <v>0</v>
      </c>
      <c r="Y83" s="83">
        <v>0</v>
      </c>
      <c r="Z83" s="83">
        <v>0</v>
      </c>
      <c r="AA83" s="83">
        <v>0</v>
      </c>
      <c r="AB83" s="83">
        <v>0</v>
      </c>
      <c r="AC83" s="1">
        <v>0</v>
      </c>
      <c r="AD83" s="1">
        <v>0</v>
      </c>
      <c r="AE83" s="1">
        <v>1</v>
      </c>
      <c r="AF83" s="1">
        <v>0</v>
      </c>
    </row>
    <row r="84" spans="1:32" s="57" customFormat="1" ht="15.75" customHeight="1">
      <c r="A84" s="1" t="s">
        <v>120</v>
      </c>
      <c r="B84" s="1" t="s">
        <v>43</v>
      </c>
      <c r="C84" s="82">
        <v>23598</v>
      </c>
      <c r="D84" s="83">
        <v>0</v>
      </c>
      <c r="E84" s="83">
        <v>0</v>
      </c>
      <c r="F84" s="83">
        <v>0</v>
      </c>
      <c r="G84" s="81">
        <v>0</v>
      </c>
      <c r="H84" s="83">
        <v>0</v>
      </c>
      <c r="I84" s="83">
        <v>0</v>
      </c>
      <c r="J84" s="83">
        <v>0</v>
      </c>
      <c r="K84" s="83">
        <v>0</v>
      </c>
      <c r="L84" s="83">
        <v>0</v>
      </c>
      <c r="M84" s="83">
        <v>0</v>
      </c>
      <c r="N84" s="83">
        <v>0</v>
      </c>
      <c r="O84" s="83">
        <v>0</v>
      </c>
      <c r="P84" s="83">
        <v>0</v>
      </c>
      <c r="Q84" s="83">
        <v>0</v>
      </c>
      <c r="R84" s="83">
        <v>0</v>
      </c>
      <c r="S84" s="83">
        <v>0</v>
      </c>
      <c r="T84" s="83">
        <v>0</v>
      </c>
      <c r="U84" s="83">
        <v>0</v>
      </c>
      <c r="V84" s="83">
        <v>0</v>
      </c>
      <c r="W84" s="83">
        <v>1</v>
      </c>
      <c r="X84" s="83">
        <v>0</v>
      </c>
      <c r="Y84" s="83">
        <v>0</v>
      </c>
      <c r="Z84" s="83">
        <v>1</v>
      </c>
      <c r="AA84" s="83">
        <v>0</v>
      </c>
      <c r="AB84" s="83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s="57" customFormat="1" ht="15.75" customHeight="1">
      <c r="A85" s="1" t="s">
        <v>121</v>
      </c>
      <c r="B85" s="1" t="s">
        <v>43</v>
      </c>
      <c r="C85" s="82">
        <v>23732</v>
      </c>
      <c r="D85" s="83">
        <v>0</v>
      </c>
      <c r="E85" s="83">
        <v>0</v>
      </c>
      <c r="F85" s="83">
        <v>0</v>
      </c>
      <c r="G85" s="81">
        <v>0</v>
      </c>
      <c r="H85" s="83">
        <v>0</v>
      </c>
      <c r="I85" s="83">
        <v>0</v>
      </c>
      <c r="J85" s="83">
        <v>0</v>
      </c>
      <c r="K85" s="83">
        <v>0</v>
      </c>
      <c r="L85" s="83">
        <v>0</v>
      </c>
      <c r="M85" s="83">
        <v>0</v>
      </c>
      <c r="N85" s="83">
        <v>0</v>
      </c>
      <c r="O85" s="83">
        <v>0</v>
      </c>
      <c r="P85" s="83">
        <v>0</v>
      </c>
      <c r="Q85" s="83">
        <v>0</v>
      </c>
      <c r="R85" s="83">
        <v>0</v>
      </c>
      <c r="S85" s="83">
        <v>0</v>
      </c>
      <c r="T85" s="83">
        <v>0</v>
      </c>
      <c r="U85" s="83">
        <v>0</v>
      </c>
      <c r="V85" s="83">
        <v>0</v>
      </c>
      <c r="W85" s="83">
        <v>2</v>
      </c>
      <c r="X85" s="83">
        <v>0</v>
      </c>
      <c r="Y85" s="83">
        <v>2</v>
      </c>
      <c r="Z85" s="83">
        <v>3</v>
      </c>
      <c r="AA85" s="83">
        <v>5</v>
      </c>
      <c r="AB85" s="83">
        <v>0</v>
      </c>
      <c r="AC85" s="1">
        <v>2</v>
      </c>
      <c r="AD85" s="1">
        <v>1</v>
      </c>
      <c r="AE85" s="1">
        <v>2</v>
      </c>
      <c r="AF85" s="1">
        <v>0</v>
      </c>
    </row>
    <row r="86" spans="1:32" s="57" customFormat="1" ht="15.75" customHeight="1">
      <c r="A86" s="1" t="s">
        <v>122</v>
      </c>
      <c r="B86" s="1" t="s">
        <v>78</v>
      </c>
      <c r="C86" s="82">
        <v>23899</v>
      </c>
      <c r="D86" s="83">
        <v>0</v>
      </c>
      <c r="E86" s="83">
        <v>0</v>
      </c>
      <c r="F86" s="83">
        <v>0</v>
      </c>
      <c r="G86" s="81">
        <v>0</v>
      </c>
      <c r="H86" s="83">
        <v>0</v>
      </c>
      <c r="I86" s="83">
        <v>0</v>
      </c>
      <c r="J86" s="83">
        <v>0</v>
      </c>
      <c r="K86" s="83">
        <v>0</v>
      </c>
      <c r="L86" s="83">
        <v>0</v>
      </c>
      <c r="M86" s="83">
        <v>0</v>
      </c>
      <c r="N86" s="83">
        <v>0</v>
      </c>
      <c r="O86" s="83">
        <v>0</v>
      </c>
      <c r="P86" s="83">
        <v>0</v>
      </c>
      <c r="Q86" s="83">
        <v>0</v>
      </c>
      <c r="R86" s="83">
        <v>0</v>
      </c>
      <c r="S86" s="83">
        <v>0</v>
      </c>
      <c r="T86" s="83">
        <v>0</v>
      </c>
      <c r="U86" s="83">
        <v>0</v>
      </c>
      <c r="V86" s="83">
        <v>0</v>
      </c>
      <c r="W86" s="83">
        <v>0</v>
      </c>
      <c r="X86" s="83">
        <v>0</v>
      </c>
      <c r="Y86" s="83">
        <v>0</v>
      </c>
      <c r="Z86" s="83">
        <v>0</v>
      </c>
      <c r="AA86" s="83">
        <v>2</v>
      </c>
      <c r="AB86" s="83">
        <v>0</v>
      </c>
      <c r="AC86" s="1">
        <v>0</v>
      </c>
      <c r="AD86" s="1">
        <v>1</v>
      </c>
      <c r="AE86" s="1">
        <v>0</v>
      </c>
      <c r="AF86" s="1">
        <v>1</v>
      </c>
    </row>
    <row r="87" spans="1:32" s="57" customFormat="1" ht="15.75" customHeight="1">
      <c r="A87" s="1" t="s">
        <v>123</v>
      </c>
      <c r="B87" s="1" t="s">
        <v>78</v>
      </c>
      <c r="C87" s="82">
        <v>24272</v>
      </c>
      <c r="D87" s="83">
        <v>0</v>
      </c>
      <c r="E87" s="83">
        <v>0</v>
      </c>
      <c r="F87" s="83">
        <v>0</v>
      </c>
      <c r="G87" s="81">
        <v>0</v>
      </c>
      <c r="H87" s="83">
        <v>0</v>
      </c>
      <c r="I87" s="83">
        <v>0</v>
      </c>
      <c r="J87" s="83">
        <v>0</v>
      </c>
      <c r="K87" s="83">
        <v>0</v>
      </c>
      <c r="L87" s="83">
        <v>0</v>
      </c>
      <c r="M87" s="83">
        <v>0</v>
      </c>
      <c r="N87" s="83">
        <v>0</v>
      </c>
      <c r="O87" s="83">
        <v>0</v>
      </c>
      <c r="P87" s="83">
        <v>0</v>
      </c>
      <c r="Q87" s="83">
        <v>0</v>
      </c>
      <c r="R87" s="83">
        <v>0</v>
      </c>
      <c r="S87" s="83">
        <v>0</v>
      </c>
      <c r="T87" s="83">
        <v>0</v>
      </c>
      <c r="U87" s="83">
        <v>0</v>
      </c>
      <c r="V87" s="83">
        <v>0</v>
      </c>
      <c r="W87" s="83">
        <v>0</v>
      </c>
      <c r="X87" s="83">
        <v>0</v>
      </c>
      <c r="Y87" s="83">
        <v>0</v>
      </c>
      <c r="Z87" s="83">
        <v>0</v>
      </c>
      <c r="AA87" s="83">
        <v>1</v>
      </c>
      <c r="AB87" s="83">
        <v>0</v>
      </c>
      <c r="AC87" s="1">
        <v>0</v>
      </c>
      <c r="AD87" s="1">
        <v>1</v>
      </c>
      <c r="AE87" s="1">
        <v>0</v>
      </c>
      <c r="AF87" s="1">
        <v>1</v>
      </c>
    </row>
    <row r="88" spans="1:32" s="57" customFormat="1" ht="15.75" customHeight="1">
      <c r="A88" s="1" t="s">
        <v>124</v>
      </c>
      <c r="B88" s="1" t="s">
        <v>43</v>
      </c>
      <c r="C88" s="82">
        <v>25059</v>
      </c>
      <c r="D88" s="83">
        <v>0</v>
      </c>
      <c r="E88" s="83">
        <v>0</v>
      </c>
      <c r="F88" s="83">
        <v>0</v>
      </c>
      <c r="G88" s="81">
        <v>0</v>
      </c>
      <c r="H88" s="83">
        <v>0</v>
      </c>
      <c r="I88" s="83">
        <v>0</v>
      </c>
      <c r="J88" s="83">
        <v>0</v>
      </c>
      <c r="K88" s="83">
        <v>0</v>
      </c>
      <c r="L88" s="83">
        <v>0</v>
      </c>
      <c r="M88" s="83">
        <v>0</v>
      </c>
      <c r="N88" s="83">
        <v>0</v>
      </c>
      <c r="O88" s="83">
        <v>0</v>
      </c>
      <c r="P88" s="83">
        <v>0</v>
      </c>
      <c r="Q88" s="83">
        <v>0</v>
      </c>
      <c r="R88" s="83">
        <v>0</v>
      </c>
      <c r="S88" s="83">
        <v>0</v>
      </c>
      <c r="T88" s="83">
        <v>0</v>
      </c>
      <c r="U88" s="83">
        <v>0</v>
      </c>
      <c r="V88" s="83">
        <v>2</v>
      </c>
      <c r="W88" s="83">
        <v>0</v>
      </c>
      <c r="X88" s="83">
        <v>0</v>
      </c>
      <c r="Y88" s="83">
        <v>0</v>
      </c>
      <c r="Z88" s="83">
        <v>0</v>
      </c>
      <c r="AA88" s="83">
        <v>0</v>
      </c>
      <c r="AB88" s="83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s="57" customFormat="1" ht="15.75" customHeight="1">
      <c r="A89" s="1" t="s">
        <v>125</v>
      </c>
      <c r="B89" s="1" t="s">
        <v>43</v>
      </c>
      <c r="C89" s="82">
        <v>25916</v>
      </c>
      <c r="D89" s="83">
        <v>0</v>
      </c>
      <c r="E89" s="83">
        <v>0</v>
      </c>
      <c r="F89" s="83">
        <v>0</v>
      </c>
      <c r="G89" s="81">
        <v>0</v>
      </c>
      <c r="H89" s="83">
        <v>0</v>
      </c>
      <c r="I89" s="83">
        <v>0</v>
      </c>
      <c r="J89" s="83">
        <v>0</v>
      </c>
      <c r="K89" s="83">
        <v>0</v>
      </c>
      <c r="L89" s="83">
        <v>0</v>
      </c>
      <c r="M89" s="83">
        <v>0</v>
      </c>
      <c r="N89" s="83">
        <v>0</v>
      </c>
      <c r="O89" s="83">
        <v>0</v>
      </c>
      <c r="P89" s="83">
        <v>0</v>
      </c>
      <c r="Q89" s="83">
        <v>0</v>
      </c>
      <c r="R89" s="83">
        <v>0</v>
      </c>
      <c r="S89" s="83">
        <v>0</v>
      </c>
      <c r="T89" s="83">
        <v>0</v>
      </c>
      <c r="U89" s="83">
        <v>0</v>
      </c>
      <c r="V89" s="83">
        <v>0</v>
      </c>
      <c r="W89" s="83">
        <v>0</v>
      </c>
      <c r="X89" s="83">
        <v>0</v>
      </c>
      <c r="Y89" s="83">
        <v>0</v>
      </c>
      <c r="Z89" s="83">
        <v>0</v>
      </c>
      <c r="AA89" s="83">
        <v>0</v>
      </c>
      <c r="AB89" s="83">
        <v>1</v>
      </c>
      <c r="AC89" s="1">
        <v>0</v>
      </c>
      <c r="AD89" s="1">
        <v>0</v>
      </c>
      <c r="AE89" s="1">
        <v>0</v>
      </c>
      <c r="AF89" s="1">
        <v>0</v>
      </c>
    </row>
    <row r="90" spans="1:32" s="57" customFormat="1" ht="15.75" customHeight="1">
      <c r="A90" s="1" t="s">
        <v>126</v>
      </c>
      <c r="B90" s="1" t="s">
        <v>43</v>
      </c>
      <c r="C90" s="82">
        <v>26299</v>
      </c>
      <c r="D90" s="83">
        <v>0</v>
      </c>
      <c r="E90" s="83">
        <v>0</v>
      </c>
      <c r="F90" s="83">
        <v>0</v>
      </c>
      <c r="G90" s="83">
        <v>0</v>
      </c>
      <c r="H90" s="83">
        <v>0</v>
      </c>
      <c r="I90" s="83">
        <v>0</v>
      </c>
      <c r="J90" s="83">
        <v>0</v>
      </c>
      <c r="K90" s="83">
        <v>0</v>
      </c>
      <c r="L90" s="83">
        <v>0</v>
      </c>
      <c r="M90" s="83">
        <v>0</v>
      </c>
      <c r="N90" s="83">
        <v>0</v>
      </c>
      <c r="O90" s="83">
        <v>0</v>
      </c>
      <c r="P90" s="83">
        <v>0</v>
      </c>
      <c r="Q90" s="83">
        <v>0</v>
      </c>
      <c r="R90" s="83">
        <v>0</v>
      </c>
      <c r="S90" s="83">
        <v>0</v>
      </c>
      <c r="T90" s="83">
        <v>0</v>
      </c>
      <c r="U90" s="83">
        <v>0</v>
      </c>
      <c r="V90" s="83">
        <v>0</v>
      </c>
      <c r="W90" s="83">
        <v>0</v>
      </c>
      <c r="X90" s="83">
        <v>0</v>
      </c>
      <c r="Y90" s="83">
        <v>0</v>
      </c>
      <c r="Z90" s="83">
        <v>0</v>
      </c>
      <c r="AA90" s="83">
        <v>0</v>
      </c>
      <c r="AB90" s="83">
        <v>0</v>
      </c>
      <c r="AC90" s="83">
        <v>0</v>
      </c>
      <c r="AD90" s="83">
        <v>0</v>
      </c>
      <c r="AE90" s="83">
        <v>0</v>
      </c>
      <c r="AF90" s="1">
        <v>1</v>
      </c>
    </row>
    <row r="91" spans="1:32" s="57" customFormat="1" ht="15.75" customHeight="1">
      <c r="A91" s="1" t="s">
        <v>127</v>
      </c>
      <c r="B91" s="1" t="s">
        <v>48</v>
      </c>
      <c r="C91" s="82">
        <v>29032</v>
      </c>
      <c r="D91" s="83">
        <v>0</v>
      </c>
      <c r="E91" s="83">
        <v>0</v>
      </c>
      <c r="F91" s="83">
        <v>0</v>
      </c>
      <c r="G91" s="81">
        <v>0</v>
      </c>
      <c r="H91" s="83">
        <v>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63</v>
      </c>
      <c r="AC91" s="1">
        <v>100</v>
      </c>
      <c r="AD91" s="1">
        <v>88</v>
      </c>
      <c r="AE91" s="1">
        <v>70</v>
      </c>
      <c r="AF91" s="1">
        <v>89</v>
      </c>
    </row>
    <row r="92" spans="1:32" s="57" customFormat="1" ht="15.75" customHeight="1">
      <c r="A92" s="1" t="s">
        <v>128</v>
      </c>
      <c r="B92" s="1" t="s">
        <v>43</v>
      </c>
      <c r="C92" s="82">
        <v>29135</v>
      </c>
      <c r="D92" s="83">
        <v>0</v>
      </c>
      <c r="E92" s="83">
        <v>0</v>
      </c>
      <c r="F92" s="83">
        <v>0</v>
      </c>
      <c r="G92" s="81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1</v>
      </c>
      <c r="AA92" s="83">
        <v>1</v>
      </c>
      <c r="AB92" s="83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s="57" customFormat="1" ht="15.75" customHeight="1">
      <c r="A93" s="1" t="s">
        <v>129</v>
      </c>
      <c r="B93" s="1" t="s">
        <v>65</v>
      </c>
      <c r="C93" s="82">
        <v>29150</v>
      </c>
      <c r="D93" s="83">
        <v>0</v>
      </c>
      <c r="E93" s="83">
        <v>0</v>
      </c>
      <c r="F93" s="83">
        <v>0</v>
      </c>
      <c r="G93" s="81">
        <v>0</v>
      </c>
      <c r="H93" s="83">
        <v>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1</v>
      </c>
      <c r="AB93" s="83">
        <v>0</v>
      </c>
      <c r="AC93" s="1">
        <v>0</v>
      </c>
      <c r="AD93" s="1">
        <v>0</v>
      </c>
      <c r="AE93" s="1">
        <v>2</v>
      </c>
      <c r="AF93" s="1">
        <v>0</v>
      </c>
    </row>
    <row r="94" spans="1:32" s="57" customFormat="1" ht="15.75" customHeight="1">
      <c r="A94" s="1" t="s">
        <v>130</v>
      </c>
      <c r="B94" s="1" t="s">
        <v>43</v>
      </c>
      <c r="C94" s="82">
        <v>29221</v>
      </c>
      <c r="D94" s="83">
        <v>0</v>
      </c>
      <c r="E94" s="83">
        <v>0</v>
      </c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3">
        <v>0</v>
      </c>
      <c r="S94" s="83">
        <v>0</v>
      </c>
      <c r="T94" s="83">
        <v>0</v>
      </c>
      <c r="U94" s="83">
        <v>0</v>
      </c>
      <c r="V94" s="83">
        <v>0</v>
      </c>
      <c r="W94" s="83">
        <v>0</v>
      </c>
      <c r="X94" s="83">
        <v>0</v>
      </c>
      <c r="Y94" s="83">
        <v>0</v>
      </c>
      <c r="Z94" s="83">
        <v>0</v>
      </c>
      <c r="AA94" s="83">
        <v>0</v>
      </c>
      <c r="AB94" s="83">
        <v>0</v>
      </c>
      <c r="AC94" s="83">
        <v>0</v>
      </c>
      <c r="AD94" s="83">
        <v>0</v>
      </c>
      <c r="AE94" s="83">
        <v>0</v>
      </c>
      <c r="AF94" s="1">
        <v>1</v>
      </c>
    </row>
    <row r="95" spans="1:32" s="57" customFormat="1" ht="15.75" customHeight="1">
      <c r="A95" s="1" t="s">
        <v>131</v>
      </c>
      <c r="B95" s="1" t="s">
        <v>78</v>
      </c>
      <c r="C95" s="82">
        <v>29364</v>
      </c>
      <c r="D95" s="83">
        <v>0</v>
      </c>
      <c r="E95" s="83">
        <v>0</v>
      </c>
      <c r="F95" s="83">
        <v>0</v>
      </c>
      <c r="G95" s="81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3">
        <v>0</v>
      </c>
      <c r="S95" s="83">
        <v>0</v>
      </c>
      <c r="T95" s="83">
        <v>0</v>
      </c>
      <c r="U95" s="83">
        <v>0</v>
      </c>
      <c r="V95" s="83">
        <v>0</v>
      </c>
      <c r="W95" s="83">
        <v>0</v>
      </c>
      <c r="X95" s="83">
        <v>0</v>
      </c>
      <c r="Y95" s="83">
        <v>1</v>
      </c>
      <c r="Z95" s="83">
        <v>0</v>
      </c>
      <c r="AA95" s="83">
        <v>1</v>
      </c>
      <c r="AB95" s="83">
        <v>0</v>
      </c>
      <c r="AC95" s="1">
        <v>0</v>
      </c>
      <c r="AD95" s="1">
        <v>2</v>
      </c>
      <c r="AE95" s="1">
        <v>1</v>
      </c>
      <c r="AF95" s="1">
        <v>3</v>
      </c>
    </row>
    <row r="96" spans="1:32" s="57" customFormat="1" ht="15.75" customHeight="1">
      <c r="A96" s="1" t="s">
        <v>132</v>
      </c>
      <c r="B96" s="1" t="s">
        <v>78</v>
      </c>
      <c r="C96" s="82">
        <v>29377</v>
      </c>
      <c r="D96" s="83">
        <v>0</v>
      </c>
      <c r="E96" s="83">
        <v>0</v>
      </c>
      <c r="F96" s="83">
        <v>0</v>
      </c>
      <c r="G96" s="81">
        <v>1</v>
      </c>
      <c r="H96" s="83">
        <v>0</v>
      </c>
      <c r="I96" s="83">
        <v>0</v>
      </c>
      <c r="J96" s="83">
        <v>0</v>
      </c>
      <c r="K96" s="83">
        <v>0</v>
      </c>
      <c r="L96" s="83">
        <v>0</v>
      </c>
      <c r="M96" s="83">
        <v>0</v>
      </c>
      <c r="N96" s="83">
        <v>0</v>
      </c>
      <c r="O96" s="83">
        <v>0</v>
      </c>
      <c r="P96" s="83">
        <v>0</v>
      </c>
      <c r="Q96" s="83">
        <v>0</v>
      </c>
      <c r="R96" s="83">
        <v>0</v>
      </c>
      <c r="S96" s="83">
        <v>0</v>
      </c>
      <c r="T96" s="83">
        <v>0</v>
      </c>
      <c r="U96" s="83">
        <v>0</v>
      </c>
      <c r="V96" s="83">
        <v>0</v>
      </c>
      <c r="W96" s="83">
        <v>0</v>
      </c>
      <c r="X96" s="83">
        <v>0</v>
      </c>
      <c r="Y96" s="83">
        <v>0</v>
      </c>
      <c r="Z96" s="83">
        <v>0</v>
      </c>
      <c r="AA96" s="83">
        <v>0</v>
      </c>
      <c r="AB96" s="83">
        <v>1</v>
      </c>
      <c r="AC96" s="1">
        <v>0</v>
      </c>
      <c r="AD96" s="1">
        <v>0</v>
      </c>
      <c r="AE96" s="1">
        <v>1</v>
      </c>
      <c r="AF96" s="1">
        <v>0</v>
      </c>
    </row>
    <row r="97" spans="1:32" s="57" customFormat="1" ht="15.75" customHeight="1">
      <c r="A97" s="1" t="s">
        <v>133</v>
      </c>
      <c r="B97" s="1" t="s">
        <v>43</v>
      </c>
      <c r="C97" s="82">
        <v>29514</v>
      </c>
      <c r="D97" s="83">
        <v>0</v>
      </c>
      <c r="E97" s="83">
        <v>0</v>
      </c>
      <c r="F97" s="83">
        <v>0</v>
      </c>
      <c r="G97" s="81">
        <v>0</v>
      </c>
      <c r="H97" s="83">
        <v>0</v>
      </c>
      <c r="I97" s="83">
        <v>0</v>
      </c>
      <c r="J97" s="83">
        <v>0</v>
      </c>
      <c r="K97" s="83">
        <v>0</v>
      </c>
      <c r="L97" s="83">
        <v>0</v>
      </c>
      <c r="M97" s="83">
        <v>0</v>
      </c>
      <c r="N97" s="83">
        <v>0</v>
      </c>
      <c r="O97" s="83">
        <v>0</v>
      </c>
      <c r="P97" s="83">
        <v>0</v>
      </c>
      <c r="Q97" s="83">
        <v>0</v>
      </c>
      <c r="R97" s="83">
        <v>0</v>
      </c>
      <c r="S97" s="83">
        <v>0</v>
      </c>
      <c r="T97" s="83">
        <v>0</v>
      </c>
      <c r="U97" s="83">
        <v>0</v>
      </c>
      <c r="V97" s="83">
        <v>1</v>
      </c>
      <c r="W97" s="83">
        <v>0</v>
      </c>
      <c r="X97" s="83">
        <v>0</v>
      </c>
      <c r="Y97" s="83">
        <v>0</v>
      </c>
      <c r="Z97" s="83">
        <v>0</v>
      </c>
      <c r="AA97" s="83">
        <v>0</v>
      </c>
      <c r="AB97" s="83">
        <v>3</v>
      </c>
      <c r="AC97" s="1">
        <v>4</v>
      </c>
      <c r="AD97" s="1">
        <v>0</v>
      </c>
      <c r="AE97" s="1">
        <v>0</v>
      </c>
      <c r="AF97" s="1">
        <v>0</v>
      </c>
    </row>
    <row r="98" spans="1:32" s="57" customFormat="1" ht="15.75" customHeight="1">
      <c r="A98" s="1" t="s">
        <v>134</v>
      </c>
      <c r="B98" s="1" t="s">
        <v>73</v>
      </c>
      <c r="C98" s="82">
        <v>30682</v>
      </c>
      <c r="D98" s="83">
        <v>0</v>
      </c>
      <c r="E98" s="83">
        <v>0</v>
      </c>
      <c r="F98" s="83">
        <v>0</v>
      </c>
      <c r="G98" s="83">
        <v>0</v>
      </c>
      <c r="H98" s="83">
        <v>0</v>
      </c>
      <c r="I98" s="83">
        <v>0</v>
      </c>
      <c r="J98" s="83">
        <v>0</v>
      </c>
      <c r="K98" s="83">
        <v>0</v>
      </c>
      <c r="L98" s="83">
        <v>0</v>
      </c>
      <c r="M98" s="83">
        <v>0</v>
      </c>
      <c r="N98" s="83">
        <v>0</v>
      </c>
      <c r="O98" s="83">
        <v>0</v>
      </c>
      <c r="P98" s="83">
        <v>0</v>
      </c>
      <c r="Q98" s="83">
        <v>0</v>
      </c>
      <c r="R98" s="83">
        <v>0</v>
      </c>
      <c r="S98" s="83">
        <v>0</v>
      </c>
      <c r="T98" s="83">
        <v>0</v>
      </c>
      <c r="U98" s="83">
        <v>0</v>
      </c>
      <c r="V98" s="83">
        <v>0</v>
      </c>
      <c r="W98" s="83">
        <v>0</v>
      </c>
      <c r="X98" s="83">
        <v>0</v>
      </c>
      <c r="Y98" s="83">
        <v>0</v>
      </c>
      <c r="Z98" s="83">
        <v>0</v>
      </c>
      <c r="AA98" s="83">
        <v>0</v>
      </c>
      <c r="AB98" s="83">
        <v>0</v>
      </c>
      <c r="AC98" s="83">
        <v>0</v>
      </c>
      <c r="AD98" s="83">
        <v>0</v>
      </c>
      <c r="AE98" s="83">
        <v>0</v>
      </c>
      <c r="AF98" s="1">
        <v>1</v>
      </c>
    </row>
    <row r="99" spans="1:32" s="57" customFormat="1" ht="15.75" customHeight="1">
      <c r="A99" s="1" t="s">
        <v>135</v>
      </c>
      <c r="B99" s="1" t="s">
        <v>43</v>
      </c>
      <c r="C99" s="82">
        <v>30691</v>
      </c>
      <c r="D99" s="83">
        <v>0</v>
      </c>
      <c r="E99" s="83">
        <v>0</v>
      </c>
      <c r="F99" s="83">
        <v>0</v>
      </c>
      <c r="G99" s="81">
        <v>0</v>
      </c>
      <c r="H99" s="83">
        <v>0</v>
      </c>
      <c r="I99" s="83">
        <v>0</v>
      </c>
      <c r="J99" s="83">
        <v>0</v>
      </c>
      <c r="K99" s="83">
        <v>0</v>
      </c>
      <c r="L99" s="83">
        <v>0</v>
      </c>
      <c r="M99" s="83">
        <v>0</v>
      </c>
      <c r="N99" s="83">
        <v>0</v>
      </c>
      <c r="O99" s="83">
        <v>0</v>
      </c>
      <c r="P99" s="83">
        <v>0</v>
      </c>
      <c r="Q99" s="83">
        <v>0</v>
      </c>
      <c r="R99" s="83">
        <v>0</v>
      </c>
      <c r="S99" s="83">
        <v>0</v>
      </c>
      <c r="T99" s="83">
        <v>0</v>
      </c>
      <c r="U99" s="83">
        <v>0</v>
      </c>
      <c r="V99" s="83">
        <v>0</v>
      </c>
      <c r="W99" s="83">
        <v>0</v>
      </c>
      <c r="X99" s="83">
        <v>1</v>
      </c>
      <c r="Y99" s="83">
        <v>0</v>
      </c>
      <c r="Z99" s="83">
        <v>0</v>
      </c>
      <c r="AA99" s="83">
        <v>0</v>
      </c>
      <c r="AB99" s="83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s="57" customFormat="1" ht="15.75" customHeight="1">
      <c r="A100" s="1" t="s">
        <v>136</v>
      </c>
      <c r="B100" s="1" t="s">
        <v>106</v>
      </c>
      <c r="C100" s="82">
        <v>30956</v>
      </c>
      <c r="D100" s="83">
        <v>0</v>
      </c>
      <c r="E100" s="83">
        <v>0</v>
      </c>
      <c r="F100" s="83">
        <v>0</v>
      </c>
      <c r="G100" s="81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3">
        <v>0</v>
      </c>
      <c r="S100" s="83">
        <v>0</v>
      </c>
      <c r="T100" s="83">
        <v>0</v>
      </c>
      <c r="U100" s="83">
        <v>0</v>
      </c>
      <c r="V100" s="83">
        <v>0</v>
      </c>
      <c r="W100" s="83">
        <v>0</v>
      </c>
      <c r="X100" s="83">
        <v>0</v>
      </c>
      <c r="Y100" s="83">
        <v>0</v>
      </c>
      <c r="Z100" s="83">
        <v>1</v>
      </c>
      <c r="AA100" s="83">
        <v>0</v>
      </c>
      <c r="AB100" s="83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s="57" customFormat="1" ht="15.75" customHeight="1">
      <c r="A101" s="1" t="s">
        <v>137</v>
      </c>
      <c r="B101" s="1" t="s">
        <v>43</v>
      </c>
      <c r="C101" s="82">
        <v>33310</v>
      </c>
      <c r="D101" s="83">
        <v>0</v>
      </c>
      <c r="E101" s="83">
        <v>0</v>
      </c>
      <c r="F101" s="83">
        <v>0</v>
      </c>
      <c r="G101" s="81">
        <v>0</v>
      </c>
      <c r="H101" s="83">
        <v>6</v>
      </c>
      <c r="I101" s="83">
        <v>10</v>
      </c>
      <c r="J101" s="83">
        <v>3</v>
      </c>
      <c r="K101" s="83">
        <v>3</v>
      </c>
      <c r="L101" s="83">
        <v>5</v>
      </c>
      <c r="M101" s="83">
        <v>1</v>
      </c>
      <c r="N101" s="83">
        <v>4</v>
      </c>
      <c r="O101" s="83">
        <v>10</v>
      </c>
      <c r="P101" s="83">
        <v>4</v>
      </c>
      <c r="Q101" s="83">
        <v>3</v>
      </c>
      <c r="R101" s="83">
        <v>0</v>
      </c>
      <c r="S101" s="83">
        <v>0</v>
      </c>
      <c r="T101" s="83">
        <v>0</v>
      </c>
      <c r="U101" s="83">
        <v>0</v>
      </c>
      <c r="V101" s="83">
        <v>0</v>
      </c>
      <c r="W101" s="83">
        <v>0</v>
      </c>
      <c r="X101" s="83">
        <v>0</v>
      </c>
      <c r="Y101" s="83">
        <v>2</v>
      </c>
      <c r="Z101" s="83">
        <v>5</v>
      </c>
      <c r="AA101" s="83">
        <v>5</v>
      </c>
      <c r="AB101" s="83">
        <v>6</v>
      </c>
      <c r="AC101" s="1">
        <v>1</v>
      </c>
      <c r="AD101" s="1">
        <v>6</v>
      </c>
      <c r="AE101" s="1">
        <v>10</v>
      </c>
      <c r="AF101" s="1">
        <v>3</v>
      </c>
    </row>
    <row r="102" spans="1:32" s="57" customFormat="1" ht="15.75" customHeight="1">
      <c r="A102" s="1" t="s">
        <v>138</v>
      </c>
      <c r="B102" s="1" t="s">
        <v>28</v>
      </c>
      <c r="C102" s="82">
        <v>33497</v>
      </c>
      <c r="D102" s="83">
        <v>0</v>
      </c>
      <c r="E102" s="83">
        <v>0</v>
      </c>
      <c r="F102" s="83">
        <v>0</v>
      </c>
      <c r="G102" s="81">
        <v>5</v>
      </c>
      <c r="H102" s="83">
        <v>0</v>
      </c>
      <c r="I102" s="83">
        <v>0</v>
      </c>
      <c r="J102" s="83">
        <v>0</v>
      </c>
      <c r="K102" s="83">
        <v>0</v>
      </c>
      <c r="L102" s="83">
        <v>0</v>
      </c>
      <c r="M102" s="83">
        <v>0</v>
      </c>
      <c r="N102" s="83">
        <v>0</v>
      </c>
      <c r="O102" s="83">
        <v>0</v>
      </c>
      <c r="P102" s="83">
        <v>0</v>
      </c>
      <c r="Q102" s="83">
        <v>0</v>
      </c>
      <c r="R102" s="83">
        <v>0</v>
      </c>
      <c r="S102" s="83">
        <v>0</v>
      </c>
      <c r="T102" s="83">
        <v>0</v>
      </c>
      <c r="U102" s="83">
        <v>0</v>
      </c>
      <c r="V102" s="83">
        <v>0</v>
      </c>
      <c r="W102" s="83">
        <v>0</v>
      </c>
      <c r="X102" s="83">
        <v>0</v>
      </c>
      <c r="Y102" s="83">
        <v>2</v>
      </c>
      <c r="Z102" s="83">
        <v>1</v>
      </c>
      <c r="AA102" s="83">
        <v>0</v>
      </c>
      <c r="AB102" s="83">
        <v>3</v>
      </c>
      <c r="AC102" s="1">
        <v>5</v>
      </c>
      <c r="AD102" s="1">
        <v>5</v>
      </c>
      <c r="AE102" s="1">
        <v>4</v>
      </c>
      <c r="AF102" s="1">
        <v>1</v>
      </c>
    </row>
    <row r="103" spans="1:32" s="57" customFormat="1" ht="15.75" customHeight="1">
      <c r="A103" s="1" t="s">
        <v>139</v>
      </c>
      <c r="B103" s="1" t="s">
        <v>28</v>
      </c>
      <c r="C103" s="82">
        <v>33580</v>
      </c>
      <c r="D103" s="83">
        <v>0</v>
      </c>
      <c r="E103" s="83">
        <v>0</v>
      </c>
      <c r="F103" s="83">
        <v>0</v>
      </c>
      <c r="G103" s="81">
        <v>0</v>
      </c>
      <c r="H103" s="83">
        <v>0</v>
      </c>
      <c r="I103" s="83">
        <v>0</v>
      </c>
      <c r="J103" s="83">
        <v>0</v>
      </c>
      <c r="K103" s="83">
        <v>0</v>
      </c>
      <c r="L103" s="83">
        <v>1</v>
      </c>
      <c r="M103" s="83">
        <v>2</v>
      </c>
      <c r="N103" s="83">
        <v>0</v>
      </c>
      <c r="O103" s="83">
        <v>0</v>
      </c>
      <c r="P103" s="83">
        <v>0</v>
      </c>
      <c r="Q103" s="83">
        <v>0</v>
      </c>
      <c r="R103" s="83">
        <v>0</v>
      </c>
      <c r="S103" s="83">
        <v>0</v>
      </c>
      <c r="T103" s="83">
        <v>0</v>
      </c>
      <c r="U103" s="83">
        <v>0</v>
      </c>
      <c r="V103" s="83">
        <v>0</v>
      </c>
      <c r="W103" s="83">
        <v>0</v>
      </c>
      <c r="X103" s="83">
        <v>0</v>
      </c>
      <c r="Y103" s="83">
        <v>3</v>
      </c>
      <c r="Z103" s="83">
        <v>1</v>
      </c>
      <c r="AA103" s="83">
        <v>3</v>
      </c>
      <c r="AB103" s="83">
        <v>4</v>
      </c>
      <c r="AC103" s="1">
        <v>3</v>
      </c>
      <c r="AD103" s="1">
        <v>2</v>
      </c>
      <c r="AE103" s="1">
        <v>0</v>
      </c>
      <c r="AF103" s="1">
        <v>2</v>
      </c>
    </row>
    <row r="104" spans="1:32" s="57" customFormat="1" ht="15.75" customHeight="1">
      <c r="A104" s="1" t="s">
        <v>140</v>
      </c>
      <c r="B104" s="1" t="s">
        <v>43</v>
      </c>
      <c r="C104" s="82">
        <v>33591</v>
      </c>
      <c r="D104" s="83">
        <v>0</v>
      </c>
      <c r="E104" s="83">
        <v>0</v>
      </c>
      <c r="F104" s="83">
        <v>0</v>
      </c>
      <c r="G104" s="81">
        <v>0</v>
      </c>
      <c r="H104" s="83">
        <v>0</v>
      </c>
      <c r="I104" s="83">
        <v>0</v>
      </c>
      <c r="J104" s="83">
        <v>0</v>
      </c>
      <c r="K104" s="83">
        <v>0</v>
      </c>
      <c r="L104" s="83">
        <v>0</v>
      </c>
      <c r="M104" s="83">
        <v>0</v>
      </c>
      <c r="N104" s="83">
        <v>0</v>
      </c>
      <c r="O104" s="83">
        <v>0</v>
      </c>
      <c r="P104" s="83">
        <v>0</v>
      </c>
      <c r="Q104" s="83">
        <v>0</v>
      </c>
      <c r="R104" s="83">
        <v>0</v>
      </c>
      <c r="S104" s="83">
        <v>0</v>
      </c>
      <c r="T104" s="83">
        <v>0</v>
      </c>
      <c r="U104" s="83">
        <v>0</v>
      </c>
      <c r="V104" s="83">
        <v>0</v>
      </c>
      <c r="W104" s="83">
        <v>0</v>
      </c>
      <c r="X104" s="83">
        <v>0</v>
      </c>
      <c r="Y104" s="83">
        <v>2</v>
      </c>
      <c r="Z104" s="83">
        <v>2</v>
      </c>
      <c r="AA104" s="83">
        <v>0</v>
      </c>
      <c r="AB104" s="83">
        <v>0</v>
      </c>
      <c r="AC104" s="1">
        <v>0</v>
      </c>
      <c r="AD104" s="1">
        <v>0</v>
      </c>
      <c r="AE104" s="1">
        <v>0</v>
      </c>
      <c r="AF104" s="1">
        <v>1</v>
      </c>
    </row>
    <row r="105" spans="1:32" s="57" customFormat="1" ht="15.75" customHeight="1">
      <c r="A105" s="1" t="s">
        <v>141</v>
      </c>
      <c r="B105" s="1" t="s">
        <v>28</v>
      </c>
      <c r="C105" s="82">
        <v>33598</v>
      </c>
      <c r="D105" s="83">
        <v>0</v>
      </c>
      <c r="E105" s="83">
        <v>0</v>
      </c>
      <c r="F105" s="83">
        <v>0</v>
      </c>
      <c r="G105" s="81">
        <v>0</v>
      </c>
      <c r="H105" s="83">
        <v>0</v>
      </c>
      <c r="I105" s="83">
        <v>3</v>
      </c>
      <c r="J105" s="83">
        <v>6</v>
      </c>
      <c r="K105" s="83">
        <v>5</v>
      </c>
      <c r="L105" s="83">
        <v>0</v>
      </c>
      <c r="M105" s="83">
        <v>7</v>
      </c>
      <c r="N105" s="83">
        <v>0</v>
      </c>
      <c r="O105" s="83">
        <v>0</v>
      </c>
      <c r="P105" s="83">
        <v>0</v>
      </c>
      <c r="Q105" s="83">
        <v>0</v>
      </c>
      <c r="R105" s="83">
        <v>0</v>
      </c>
      <c r="S105" s="83">
        <v>0</v>
      </c>
      <c r="T105" s="83">
        <v>0</v>
      </c>
      <c r="U105" s="83">
        <v>0</v>
      </c>
      <c r="V105" s="83">
        <v>0</v>
      </c>
      <c r="W105" s="83">
        <v>0</v>
      </c>
      <c r="X105" s="83">
        <v>0</v>
      </c>
      <c r="Y105" s="83">
        <v>2</v>
      </c>
      <c r="Z105" s="83">
        <v>0</v>
      </c>
      <c r="AA105" s="83">
        <v>3</v>
      </c>
      <c r="AB105" s="83">
        <v>3</v>
      </c>
      <c r="AC105" s="1">
        <v>2</v>
      </c>
      <c r="AD105" s="1">
        <v>2</v>
      </c>
      <c r="AE105" s="1">
        <v>1</v>
      </c>
      <c r="AF105" s="1">
        <v>2</v>
      </c>
    </row>
    <row r="106" spans="1:32" s="57" customFormat="1" ht="15.75" customHeight="1">
      <c r="A106" s="1" t="s">
        <v>142</v>
      </c>
      <c r="B106" s="1" t="s">
        <v>28</v>
      </c>
      <c r="C106" s="82">
        <v>34012</v>
      </c>
      <c r="D106" s="83">
        <v>0</v>
      </c>
      <c r="E106" s="83">
        <v>0</v>
      </c>
      <c r="F106" s="83">
        <v>0</v>
      </c>
      <c r="G106" s="81">
        <v>0</v>
      </c>
      <c r="H106" s="83">
        <v>0</v>
      </c>
      <c r="I106" s="83">
        <v>0</v>
      </c>
      <c r="J106" s="83">
        <v>0</v>
      </c>
      <c r="K106" s="83">
        <v>0</v>
      </c>
      <c r="L106" s="83">
        <v>0</v>
      </c>
      <c r="M106" s="83">
        <v>0</v>
      </c>
      <c r="N106" s="83">
        <v>0</v>
      </c>
      <c r="O106" s="83">
        <v>0</v>
      </c>
      <c r="P106" s="83">
        <v>0</v>
      </c>
      <c r="Q106" s="83">
        <v>0</v>
      </c>
      <c r="R106" s="83">
        <v>0</v>
      </c>
      <c r="S106" s="83">
        <v>0</v>
      </c>
      <c r="T106" s="83">
        <v>0</v>
      </c>
      <c r="U106" s="83">
        <v>0</v>
      </c>
      <c r="V106" s="83">
        <v>0</v>
      </c>
      <c r="W106" s="83">
        <v>0</v>
      </c>
      <c r="X106" s="83">
        <v>0</v>
      </c>
      <c r="Y106" s="83">
        <v>3</v>
      </c>
      <c r="Z106" s="83">
        <v>2</v>
      </c>
      <c r="AA106" s="83">
        <v>2</v>
      </c>
      <c r="AB106" s="83">
        <v>5</v>
      </c>
      <c r="AC106" s="1">
        <v>5</v>
      </c>
      <c r="AD106" s="1">
        <v>6</v>
      </c>
      <c r="AE106" s="1">
        <v>10</v>
      </c>
      <c r="AF106" s="1">
        <v>8</v>
      </c>
    </row>
    <row r="107" spans="1:32" s="57" customFormat="1" ht="15.75" customHeight="1">
      <c r="A107" s="1" t="s">
        <v>143</v>
      </c>
      <c r="B107" s="1" t="s">
        <v>144</v>
      </c>
      <c r="C107" s="82">
        <v>34013</v>
      </c>
      <c r="D107" s="83">
        <v>0</v>
      </c>
      <c r="E107" s="83">
        <v>0</v>
      </c>
      <c r="F107" s="83">
        <v>0</v>
      </c>
      <c r="G107" s="81">
        <v>0</v>
      </c>
      <c r="H107" s="83">
        <v>0</v>
      </c>
      <c r="I107" s="83">
        <v>0</v>
      </c>
      <c r="J107" s="83">
        <v>0</v>
      </c>
      <c r="K107" s="83">
        <v>0</v>
      </c>
      <c r="L107" s="83">
        <v>0</v>
      </c>
      <c r="M107" s="83">
        <v>0</v>
      </c>
      <c r="N107" s="83">
        <v>0</v>
      </c>
      <c r="O107" s="83">
        <v>0</v>
      </c>
      <c r="P107" s="83">
        <v>0</v>
      </c>
      <c r="Q107" s="83">
        <v>0</v>
      </c>
      <c r="R107" s="83">
        <v>0</v>
      </c>
      <c r="S107" s="83">
        <v>0</v>
      </c>
      <c r="T107" s="83">
        <v>0</v>
      </c>
      <c r="U107" s="83">
        <v>0</v>
      </c>
      <c r="V107" s="83">
        <v>0</v>
      </c>
      <c r="W107" s="83">
        <v>0</v>
      </c>
      <c r="X107" s="83">
        <v>0</v>
      </c>
      <c r="Y107" s="83">
        <v>0</v>
      </c>
      <c r="Z107" s="83">
        <v>2</v>
      </c>
      <c r="AA107" s="83">
        <v>4</v>
      </c>
      <c r="AB107" s="83">
        <v>5</v>
      </c>
      <c r="AC107" s="1">
        <v>6</v>
      </c>
      <c r="AD107" s="1">
        <v>4</v>
      </c>
      <c r="AE107" s="1">
        <v>13</v>
      </c>
      <c r="AF107" s="1">
        <v>5</v>
      </c>
    </row>
    <row r="108" spans="1:32" s="57" customFormat="1" ht="15.75" customHeight="1">
      <c r="A108" s="1" t="s">
        <v>145</v>
      </c>
      <c r="B108" s="1" t="s">
        <v>28</v>
      </c>
      <c r="C108" s="82">
        <v>34021</v>
      </c>
      <c r="D108" s="83">
        <v>0</v>
      </c>
      <c r="E108" s="83">
        <v>0</v>
      </c>
      <c r="F108" s="83">
        <v>0</v>
      </c>
      <c r="G108" s="81">
        <v>0</v>
      </c>
      <c r="H108" s="83">
        <v>0</v>
      </c>
      <c r="I108" s="83">
        <v>0</v>
      </c>
      <c r="J108" s="83">
        <v>0</v>
      </c>
      <c r="K108" s="83">
        <v>0</v>
      </c>
      <c r="L108" s="83">
        <v>0</v>
      </c>
      <c r="M108" s="83">
        <v>0</v>
      </c>
      <c r="N108" s="83">
        <v>0</v>
      </c>
      <c r="O108" s="83">
        <v>0</v>
      </c>
      <c r="P108" s="83">
        <v>0</v>
      </c>
      <c r="Q108" s="83">
        <v>0</v>
      </c>
      <c r="R108" s="83">
        <v>0</v>
      </c>
      <c r="S108" s="83">
        <v>0</v>
      </c>
      <c r="T108" s="83">
        <v>0</v>
      </c>
      <c r="U108" s="83">
        <v>0</v>
      </c>
      <c r="V108" s="83">
        <v>0</v>
      </c>
      <c r="W108" s="83">
        <v>0</v>
      </c>
      <c r="X108" s="83">
        <v>0</v>
      </c>
      <c r="Y108" s="83">
        <v>0</v>
      </c>
      <c r="Z108" s="83">
        <v>23</v>
      </c>
      <c r="AA108" s="83">
        <v>23</v>
      </c>
      <c r="AB108" s="83">
        <v>23</v>
      </c>
      <c r="AC108" s="1">
        <v>27</v>
      </c>
      <c r="AD108" s="1">
        <v>20</v>
      </c>
      <c r="AE108" s="1">
        <v>11</v>
      </c>
      <c r="AF108" s="1">
        <v>19</v>
      </c>
    </row>
    <row r="109" spans="1:32" s="57" customFormat="1" ht="15.75" customHeight="1">
      <c r="A109" s="1" t="s">
        <v>146</v>
      </c>
      <c r="B109" s="1" t="s">
        <v>28</v>
      </c>
      <c r="C109" s="82">
        <v>34065</v>
      </c>
      <c r="D109" s="83">
        <v>0</v>
      </c>
      <c r="E109" s="83">
        <v>0</v>
      </c>
      <c r="F109" s="83">
        <v>0</v>
      </c>
      <c r="G109" s="81">
        <v>0</v>
      </c>
      <c r="H109" s="83">
        <v>0</v>
      </c>
      <c r="I109" s="83">
        <v>0</v>
      </c>
      <c r="J109" s="83">
        <v>0</v>
      </c>
      <c r="K109" s="83">
        <v>0</v>
      </c>
      <c r="L109" s="83">
        <v>0</v>
      </c>
      <c r="M109" s="83">
        <v>0</v>
      </c>
      <c r="N109" s="83">
        <v>0</v>
      </c>
      <c r="O109" s="83">
        <v>0</v>
      </c>
      <c r="P109" s="83">
        <v>0</v>
      </c>
      <c r="Q109" s="83">
        <v>0</v>
      </c>
      <c r="R109" s="83">
        <v>0</v>
      </c>
      <c r="S109" s="83">
        <v>0</v>
      </c>
      <c r="T109" s="83">
        <v>0</v>
      </c>
      <c r="U109" s="83">
        <v>0</v>
      </c>
      <c r="V109" s="83">
        <v>0</v>
      </c>
      <c r="W109" s="83">
        <v>0</v>
      </c>
      <c r="X109" s="83">
        <v>0</v>
      </c>
      <c r="Y109" s="83">
        <v>0</v>
      </c>
      <c r="Z109" s="83">
        <v>1</v>
      </c>
      <c r="AA109" s="83">
        <v>3</v>
      </c>
      <c r="AB109" s="83">
        <v>5</v>
      </c>
      <c r="AC109" s="1">
        <v>7</v>
      </c>
      <c r="AD109" s="1">
        <v>10</v>
      </c>
      <c r="AE109" s="1">
        <v>18</v>
      </c>
      <c r="AF109" s="1">
        <v>7</v>
      </c>
    </row>
    <row r="110" spans="1:32" s="57" customFormat="1" ht="15.75" customHeight="1">
      <c r="A110" s="1" t="s">
        <v>147</v>
      </c>
      <c r="B110" s="1" t="s">
        <v>28</v>
      </c>
      <c r="C110" s="82">
        <v>34109</v>
      </c>
      <c r="D110" s="83">
        <v>0</v>
      </c>
      <c r="E110" s="83">
        <v>0</v>
      </c>
      <c r="F110" s="83">
        <v>0</v>
      </c>
      <c r="G110" s="81">
        <v>0</v>
      </c>
      <c r="H110" s="83">
        <v>0</v>
      </c>
      <c r="I110" s="83">
        <v>0</v>
      </c>
      <c r="J110" s="83">
        <v>0</v>
      </c>
      <c r="K110" s="83">
        <v>0</v>
      </c>
      <c r="L110" s="83">
        <v>0</v>
      </c>
      <c r="M110" s="83">
        <v>0</v>
      </c>
      <c r="N110" s="83">
        <v>0</v>
      </c>
      <c r="O110" s="83">
        <v>0</v>
      </c>
      <c r="P110" s="83">
        <v>0</v>
      </c>
      <c r="Q110" s="83">
        <v>0</v>
      </c>
      <c r="R110" s="83">
        <v>0</v>
      </c>
      <c r="S110" s="83">
        <v>0</v>
      </c>
      <c r="T110" s="83">
        <v>0</v>
      </c>
      <c r="U110" s="83">
        <v>0</v>
      </c>
      <c r="V110" s="83">
        <v>0</v>
      </c>
      <c r="W110" s="83">
        <v>0</v>
      </c>
      <c r="X110" s="83">
        <v>0</v>
      </c>
      <c r="Y110" s="83">
        <v>0</v>
      </c>
      <c r="Z110" s="83">
        <v>3</v>
      </c>
      <c r="AA110" s="83">
        <v>5</v>
      </c>
      <c r="AB110" s="83">
        <v>6</v>
      </c>
      <c r="AC110" s="1">
        <v>6</v>
      </c>
      <c r="AD110" s="1">
        <v>4</v>
      </c>
      <c r="AE110" s="1">
        <v>4</v>
      </c>
      <c r="AF110" s="1">
        <v>4</v>
      </c>
    </row>
    <row r="111" spans="1:32" s="57" customFormat="1" ht="15.75" customHeight="1">
      <c r="A111" s="1" t="s">
        <v>148</v>
      </c>
      <c r="B111" s="1" t="s">
        <v>28</v>
      </c>
      <c r="C111" s="82">
        <v>34117</v>
      </c>
      <c r="D111" s="83">
        <v>0</v>
      </c>
      <c r="E111" s="83">
        <v>0</v>
      </c>
      <c r="F111" s="83">
        <v>0</v>
      </c>
      <c r="G111" s="81">
        <v>0</v>
      </c>
      <c r="H111" s="83">
        <v>0</v>
      </c>
      <c r="I111" s="83">
        <v>0</v>
      </c>
      <c r="J111" s="83">
        <v>0</v>
      </c>
      <c r="K111" s="83">
        <v>0</v>
      </c>
      <c r="L111" s="83">
        <v>0</v>
      </c>
      <c r="M111" s="83">
        <v>0</v>
      </c>
      <c r="N111" s="83">
        <v>0</v>
      </c>
      <c r="O111" s="83">
        <v>0</v>
      </c>
      <c r="P111" s="83">
        <v>0</v>
      </c>
      <c r="Q111" s="83">
        <v>0</v>
      </c>
      <c r="R111" s="83">
        <v>0</v>
      </c>
      <c r="S111" s="83">
        <v>0</v>
      </c>
      <c r="T111" s="83">
        <v>0</v>
      </c>
      <c r="U111" s="83">
        <v>0</v>
      </c>
      <c r="V111" s="83">
        <v>0</v>
      </c>
      <c r="W111" s="83">
        <v>0</v>
      </c>
      <c r="X111" s="83">
        <v>0</v>
      </c>
      <c r="Y111" s="83">
        <v>2</v>
      </c>
      <c r="Z111" s="83">
        <v>2</v>
      </c>
      <c r="AA111" s="83">
        <v>2</v>
      </c>
      <c r="AB111" s="83">
        <v>4</v>
      </c>
      <c r="AC111" s="1">
        <v>5</v>
      </c>
      <c r="AD111" s="1">
        <v>4</v>
      </c>
      <c r="AE111" s="1">
        <v>4</v>
      </c>
      <c r="AF111" s="1">
        <v>5</v>
      </c>
    </row>
    <row r="112" spans="1:32" s="57" customFormat="1" ht="15.75" customHeight="1">
      <c r="A112" s="1" t="s">
        <v>149</v>
      </c>
      <c r="B112" s="1" t="s">
        <v>28</v>
      </c>
      <c r="C112" s="82">
        <v>34127</v>
      </c>
      <c r="D112" s="83">
        <v>0</v>
      </c>
      <c r="E112" s="83">
        <v>0</v>
      </c>
      <c r="F112" s="83">
        <v>0</v>
      </c>
      <c r="G112" s="81">
        <v>0</v>
      </c>
      <c r="H112" s="83">
        <v>0</v>
      </c>
      <c r="I112" s="83">
        <v>0</v>
      </c>
      <c r="J112" s="83">
        <v>0</v>
      </c>
      <c r="K112" s="83">
        <v>0</v>
      </c>
      <c r="L112" s="83">
        <v>0</v>
      </c>
      <c r="M112" s="83">
        <v>0</v>
      </c>
      <c r="N112" s="83">
        <v>0</v>
      </c>
      <c r="O112" s="83">
        <v>0</v>
      </c>
      <c r="P112" s="83">
        <v>0</v>
      </c>
      <c r="Q112" s="83">
        <v>0</v>
      </c>
      <c r="R112" s="83">
        <v>0</v>
      </c>
      <c r="S112" s="83">
        <v>0</v>
      </c>
      <c r="T112" s="83">
        <v>0</v>
      </c>
      <c r="U112" s="83">
        <v>0</v>
      </c>
      <c r="V112" s="83">
        <v>0</v>
      </c>
      <c r="W112" s="83">
        <v>0</v>
      </c>
      <c r="X112" s="83">
        <v>0</v>
      </c>
      <c r="Y112" s="83">
        <v>0</v>
      </c>
      <c r="Z112" s="83">
        <v>11</v>
      </c>
      <c r="AA112" s="83">
        <v>8</v>
      </c>
      <c r="AB112" s="83">
        <v>8</v>
      </c>
      <c r="AC112" s="1">
        <v>6</v>
      </c>
      <c r="AD112" s="1">
        <v>10</v>
      </c>
      <c r="AE112" s="1">
        <v>10</v>
      </c>
      <c r="AF112" s="1">
        <v>11</v>
      </c>
    </row>
    <row r="113" spans="1:32" s="57" customFormat="1" ht="15.75" customHeight="1">
      <c r="A113" s="1" t="s">
        <v>150</v>
      </c>
      <c r="B113" s="1" t="s">
        <v>28</v>
      </c>
      <c r="C113" s="82">
        <v>34168</v>
      </c>
      <c r="D113" s="83">
        <v>0</v>
      </c>
      <c r="E113" s="83">
        <v>0</v>
      </c>
      <c r="F113" s="83">
        <v>0</v>
      </c>
      <c r="G113" s="81">
        <v>0</v>
      </c>
      <c r="H113" s="83">
        <v>0</v>
      </c>
      <c r="I113" s="83">
        <v>0</v>
      </c>
      <c r="J113" s="83">
        <v>0</v>
      </c>
      <c r="K113" s="83">
        <v>0</v>
      </c>
      <c r="L113" s="83">
        <v>0</v>
      </c>
      <c r="M113" s="83">
        <v>0</v>
      </c>
      <c r="N113" s="83">
        <v>0</v>
      </c>
      <c r="O113" s="83">
        <v>0</v>
      </c>
      <c r="P113" s="83">
        <v>0</v>
      </c>
      <c r="Q113" s="83">
        <v>0</v>
      </c>
      <c r="R113" s="83">
        <v>0</v>
      </c>
      <c r="S113" s="83">
        <v>0</v>
      </c>
      <c r="T113" s="83">
        <v>0</v>
      </c>
      <c r="U113" s="83">
        <v>0</v>
      </c>
      <c r="V113" s="83">
        <v>0</v>
      </c>
      <c r="W113" s="83">
        <v>0</v>
      </c>
      <c r="X113" s="83">
        <v>0</v>
      </c>
      <c r="Y113" s="83">
        <v>0</v>
      </c>
      <c r="Z113" s="83">
        <v>0</v>
      </c>
      <c r="AA113" s="83">
        <v>1</v>
      </c>
      <c r="AB113" s="83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s="57" customFormat="1" ht="15.75" customHeight="1">
      <c r="A114" s="1" t="s">
        <v>151</v>
      </c>
      <c r="B114" s="1" t="s">
        <v>28</v>
      </c>
      <c r="C114" s="82">
        <v>34193</v>
      </c>
      <c r="D114" s="83">
        <v>0</v>
      </c>
      <c r="E114" s="83">
        <v>0</v>
      </c>
      <c r="F114" s="83">
        <v>0</v>
      </c>
      <c r="G114" s="81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0</v>
      </c>
      <c r="N114" s="83">
        <v>0</v>
      </c>
      <c r="O114" s="83">
        <v>0</v>
      </c>
      <c r="P114" s="83">
        <v>0</v>
      </c>
      <c r="Q114" s="83">
        <v>0</v>
      </c>
      <c r="R114" s="83">
        <v>0</v>
      </c>
      <c r="S114" s="83">
        <v>0</v>
      </c>
      <c r="T114" s="83">
        <v>0</v>
      </c>
      <c r="U114" s="83">
        <v>0</v>
      </c>
      <c r="V114" s="83">
        <v>0</v>
      </c>
      <c r="W114" s="83">
        <v>0</v>
      </c>
      <c r="X114" s="83">
        <v>0</v>
      </c>
      <c r="Y114" s="83">
        <v>0</v>
      </c>
      <c r="Z114" s="83">
        <v>2</v>
      </c>
      <c r="AA114" s="83">
        <v>6</v>
      </c>
      <c r="AB114" s="83">
        <v>4</v>
      </c>
      <c r="AC114" s="1">
        <v>6</v>
      </c>
      <c r="AD114" s="1">
        <v>7</v>
      </c>
      <c r="AE114" s="1">
        <v>7</v>
      </c>
      <c r="AF114" s="1">
        <v>8</v>
      </c>
    </row>
    <row r="115" spans="1:32" s="57" customFormat="1" ht="15.75" customHeight="1">
      <c r="A115" s="1" t="s">
        <v>152</v>
      </c>
      <c r="B115" s="1" t="s">
        <v>28</v>
      </c>
      <c r="C115" s="82">
        <v>34231</v>
      </c>
      <c r="D115" s="83">
        <v>0</v>
      </c>
      <c r="E115" s="83">
        <v>0</v>
      </c>
      <c r="F115" s="83">
        <v>0</v>
      </c>
      <c r="G115" s="81">
        <v>0</v>
      </c>
      <c r="H115" s="83">
        <v>0</v>
      </c>
      <c r="I115" s="83">
        <v>0</v>
      </c>
      <c r="J115" s="83">
        <v>0</v>
      </c>
      <c r="K115" s="83">
        <v>0</v>
      </c>
      <c r="L115" s="83">
        <v>0</v>
      </c>
      <c r="M115" s="83">
        <v>0</v>
      </c>
      <c r="N115" s="83">
        <v>0</v>
      </c>
      <c r="O115" s="83">
        <v>0</v>
      </c>
      <c r="P115" s="83">
        <v>0</v>
      </c>
      <c r="Q115" s="83">
        <v>0</v>
      </c>
      <c r="R115" s="83">
        <v>0</v>
      </c>
      <c r="S115" s="83">
        <v>0</v>
      </c>
      <c r="T115" s="83">
        <v>0</v>
      </c>
      <c r="U115" s="83">
        <v>0</v>
      </c>
      <c r="V115" s="83">
        <v>0</v>
      </c>
      <c r="W115" s="83">
        <v>0</v>
      </c>
      <c r="X115" s="83">
        <v>0</v>
      </c>
      <c r="Y115" s="83">
        <v>0</v>
      </c>
      <c r="Z115" s="83">
        <v>2</v>
      </c>
      <c r="AA115" s="83">
        <v>1</v>
      </c>
      <c r="AB115" s="83">
        <v>0</v>
      </c>
      <c r="AC115" s="1">
        <v>6</v>
      </c>
      <c r="AD115" s="1">
        <v>3</v>
      </c>
      <c r="AE115" s="1">
        <v>4</v>
      </c>
      <c r="AF115" s="1">
        <v>4</v>
      </c>
    </row>
    <row r="116" spans="1:32" s="57" customFormat="1" ht="15.75" customHeight="1">
      <c r="A116" s="1" t="s">
        <v>153</v>
      </c>
      <c r="B116" s="1" t="s">
        <v>43</v>
      </c>
      <c r="C116" s="82">
        <v>34243</v>
      </c>
      <c r="D116" s="83">
        <v>0</v>
      </c>
      <c r="E116" s="83">
        <v>0</v>
      </c>
      <c r="F116" s="83">
        <v>0</v>
      </c>
      <c r="G116" s="81">
        <v>0</v>
      </c>
      <c r="H116" s="83">
        <v>0</v>
      </c>
      <c r="I116" s="83">
        <v>0</v>
      </c>
      <c r="J116" s="83">
        <v>0</v>
      </c>
      <c r="K116" s="83">
        <v>0</v>
      </c>
      <c r="L116" s="83">
        <v>0</v>
      </c>
      <c r="M116" s="83">
        <v>0</v>
      </c>
      <c r="N116" s="83">
        <v>0</v>
      </c>
      <c r="O116" s="83">
        <v>0</v>
      </c>
      <c r="P116" s="83">
        <v>0</v>
      </c>
      <c r="Q116" s="83">
        <v>0</v>
      </c>
      <c r="R116" s="83">
        <v>0</v>
      </c>
      <c r="S116" s="83">
        <v>0</v>
      </c>
      <c r="T116" s="83">
        <v>0</v>
      </c>
      <c r="U116" s="83">
        <v>0</v>
      </c>
      <c r="V116" s="83">
        <v>0</v>
      </c>
      <c r="W116" s="83">
        <v>0</v>
      </c>
      <c r="X116" s="83">
        <v>0</v>
      </c>
      <c r="Y116" s="83">
        <v>0</v>
      </c>
      <c r="Z116" s="83">
        <v>1</v>
      </c>
      <c r="AA116" s="83">
        <v>0</v>
      </c>
      <c r="AB116" s="83">
        <v>0</v>
      </c>
      <c r="AC116" s="1">
        <v>0</v>
      </c>
      <c r="AD116" s="1">
        <v>0</v>
      </c>
      <c r="AE116" s="1">
        <v>1</v>
      </c>
      <c r="AF116" s="1">
        <v>0</v>
      </c>
    </row>
    <row r="117" spans="1:32" s="57" customFormat="1" ht="15.75" customHeight="1">
      <c r="A117" s="1" t="s">
        <v>154</v>
      </c>
      <c r="B117" s="1" t="s">
        <v>144</v>
      </c>
      <c r="C117" s="82">
        <v>34262</v>
      </c>
      <c r="D117" s="83">
        <v>0</v>
      </c>
      <c r="E117" s="83">
        <v>0</v>
      </c>
      <c r="F117" s="83">
        <v>0</v>
      </c>
      <c r="G117" s="81">
        <v>3</v>
      </c>
      <c r="H117" s="83">
        <v>0</v>
      </c>
      <c r="I117" s="83">
        <v>0</v>
      </c>
      <c r="J117" s="83">
        <v>0</v>
      </c>
      <c r="K117" s="83">
        <v>0</v>
      </c>
      <c r="L117" s="83">
        <v>0</v>
      </c>
      <c r="M117" s="83">
        <v>0</v>
      </c>
      <c r="N117" s="83">
        <v>0</v>
      </c>
      <c r="O117" s="83">
        <v>0</v>
      </c>
      <c r="P117" s="83">
        <v>0</v>
      </c>
      <c r="Q117" s="83">
        <v>0</v>
      </c>
      <c r="R117" s="83">
        <v>0</v>
      </c>
      <c r="S117" s="83">
        <v>0</v>
      </c>
      <c r="T117" s="83">
        <v>0</v>
      </c>
      <c r="U117" s="83">
        <v>0</v>
      </c>
      <c r="V117" s="83">
        <v>0</v>
      </c>
      <c r="W117" s="83">
        <v>0</v>
      </c>
      <c r="X117" s="83">
        <v>0</v>
      </c>
      <c r="Y117" s="83">
        <v>0</v>
      </c>
      <c r="Z117" s="83">
        <v>0</v>
      </c>
      <c r="AA117" s="83">
        <v>1</v>
      </c>
      <c r="AB117" s="83">
        <v>0</v>
      </c>
      <c r="AC117" s="1">
        <v>2</v>
      </c>
      <c r="AD117" s="1">
        <v>0</v>
      </c>
      <c r="AE117" s="1">
        <v>0</v>
      </c>
      <c r="AF117" s="1">
        <v>3</v>
      </c>
    </row>
    <row r="118" spans="1:32" s="57" customFormat="1" ht="15.75" customHeight="1">
      <c r="A118" s="1" t="s">
        <v>155</v>
      </c>
      <c r="B118" s="1" t="s">
        <v>28</v>
      </c>
      <c r="C118" s="82">
        <v>34280</v>
      </c>
      <c r="D118" s="83">
        <v>0</v>
      </c>
      <c r="E118" s="83">
        <v>0</v>
      </c>
      <c r="F118" s="83">
        <v>0</v>
      </c>
      <c r="G118" s="81">
        <v>0</v>
      </c>
      <c r="H118" s="83">
        <v>0</v>
      </c>
      <c r="I118" s="83">
        <v>0</v>
      </c>
      <c r="J118" s="83">
        <v>0</v>
      </c>
      <c r="K118" s="83">
        <v>0</v>
      </c>
      <c r="L118" s="83">
        <v>0</v>
      </c>
      <c r="M118" s="83">
        <v>0</v>
      </c>
      <c r="N118" s="83">
        <v>0</v>
      </c>
      <c r="O118" s="83">
        <v>0</v>
      </c>
      <c r="P118" s="83">
        <v>0</v>
      </c>
      <c r="Q118" s="83">
        <v>0</v>
      </c>
      <c r="R118" s="83">
        <v>0</v>
      </c>
      <c r="S118" s="83">
        <v>0</v>
      </c>
      <c r="T118" s="83">
        <v>0</v>
      </c>
      <c r="U118" s="83">
        <v>0</v>
      </c>
      <c r="V118" s="83">
        <v>0</v>
      </c>
      <c r="W118" s="83">
        <v>0</v>
      </c>
      <c r="X118" s="83">
        <v>0</v>
      </c>
      <c r="Y118" s="83">
        <v>0</v>
      </c>
      <c r="Z118" s="83">
        <v>2</v>
      </c>
      <c r="AA118" s="83">
        <v>2</v>
      </c>
      <c r="AB118" s="83">
        <v>0</v>
      </c>
      <c r="AC118" s="1">
        <v>0</v>
      </c>
      <c r="AD118" s="1">
        <v>2</v>
      </c>
      <c r="AE118" s="1">
        <v>1</v>
      </c>
      <c r="AF118" s="1">
        <v>1</v>
      </c>
    </row>
    <row r="119" spans="1:32" s="57" customFormat="1" ht="15.75" customHeight="1">
      <c r="A119" s="1" t="s">
        <v>156</v>
      </c>
      <c r="B119" s="1" t="s">
        <v>28</v>
      </c>
      <c r="C119" s="82">
        <v>34283</v>
      </c>
      <c r="D119" s="83">
        <v>0</v>
      </c>
      <c r="E119" s="83">
        <v>0</v>
      </c>
      <c r="F119" s="83">
        <v>0</v>
      </c>
      <c r="G119" s="81">
        <v>0</v>
      </c>
      <c r="H119" s="83">
        <v>0</v>
      </c>
      <c r="I119" s="83">
        <v>0</v>
      </c>
      <c r="J119" s="83">
        <v>0</v>
      </c>
      <c r="K119" s="83">
        <v>0</v>
      </c>
      <c r="L119" s="83">
        <v>0</v>
      </c>
      <c r="M119" s="83">
        <v>0</v>
      </c>
      <c r="N119" s="83">
        <v>0</v>
      </c>
      <c r="O119" s="83">
        <v>71</v>
      </c>
      <c r="P119" s="83">
        <v>98</v>
      </c>
      <c r="Q119" s="83">
        <v>103</v>
      </c>
      <c r="R119" s="83">
        <v>96</v>
      </c>
      <c r="S119" s="83">
        <v>91</v>
      </c>
      <c r="T119" s="83">
        <v>99</v>
      </c>
      <c r="U119" s="83">
        <v>125</v>
      </c>
      <c r="V119" s="83">
        <v>195</v>
      </c>
      <c r="W119" s="83">
        <v>0</v>
      </c>
      <c r="X119" s="83">
        <v>132</v>
      </c>
      <c r="Y119" s="83">
        <v>112</v>
      </c>
      <c r="Z119" s="83">
        <v>63</v>
      </c>
      <c r="AA119" s="83">
        <v>88</v>
      </c>
      <c r="AB119" s="83">
        <v>0</v>
      </c>
      <c r="AC119" s="1">
        <v>72</v>
      </c>
      <c r="AD119" s="1">
        <v>82</v>
      </c>
      <c r="AE119" s="1">
        <v>56</v>
      </c>
      <c r="AF119" s="1">
        <v>71</v>
      </c>
    </row>
    <row r="120" spans="1:32" s="57" customFormat="1" ht="15.75" customHeight="1">
      <c r="A120" s="1" t="s">
        <v>157</v>
      </c>
      <c r="B120" s="1" t="s">
        <v>28</v>
      </c>
      <c r="C120" s="82">
        <v>34309</v>
      </c>
      <c r="D120" s="83">
        <v>0</v>
      </c>
      <c r="E120" s="83">
        <v>0</v>
      </c>
      <c r="F120" s="83">
        <v>0</v>
      </c>
      <c r="G120" s="81">
        <v>0</v>
      </c>
      <c r="H120" s="83">
        <v>0</v>
      </c>
      <c r="I120" s="83">
        <v>0</v>
      </c>
      <c r="J120" s="83">
        <v>0</v>
      </c>
      <c r="K120" s="83">
        <v>0</v>
      </c>
      <c r="L120" s="83">
        <v>0</v>
      </c>
      <c r="M120" s="83">
        <v>0</v>
      </c>
      <c r="N120" s="83">
        <v>0</v>
      </c>
      <c r="O120" s="83">
        <v>0</v>
      </c>
      <c r="P120" s="83">
        <v>0</v>
      </c>
      <c r="Q120" s="83">
        <v>0</v>
      </c>
      <c r="R120" s="83">
        <v>0</v>
      </c>
      <c r="S120" s="83">
        <v>0</v>
      </c>
      <c r="T120" s="83">
        <v>0</v>
      </c>
      <c r="U120" s="83">
        <v>0</v>
      </c>
      <c r="V120" s="83">
        <v>0</v>
      </c>
      <c r="W120" s="83">
        <v>0</v>
      </c>
      <c r="X120" s="83">
        <v>0</v>
      </c>
      <c r="Y120" s="83">
        <v>0</v>
      </c>
      <c r="Z120" s="83">
        <v>15</v>
      </c>
      <c r="AA120" s="83">
        <v>17</v>
      </c>
      <c r="AB120" s="83">
        <v>15</v>
      </c>
      <c r="AC120" s="1">
        <v>19</v>
      </c>
      <c r="AD120" s="1">
        <v>12</v>
      </c>
      <c r="AE120" s="1">
        <v>9</v>
      </c>
      <c r="AF120" s="1">
        <v>7</v>
      </c>
    </row>
    <row r="121" spans="1:32" s="57" customFormat="1" ht="15.75" customHeight="1">
      <c r="A121" s="1" t="s">
        <v>158</v>
      </c>
      <c r="B121" s="1" t="s">
        <v>144</v>
      </c>
      <c r="C121" s="82">
        <v>34312</v>
      </c>
      <c r="D121" s="83">
        <v>0</v>
      </c>
      <c r="E121" s="83">
        <v>0</v>
      </c>
      <c r="F121" s="83">
        <v>0</v>
      </c>
      <c r="G121" s="81">
        <v>0</v>
      </c>
      <c r="H121" s="83">
        <v>0</v>
      </c>
      <c r="I121" s="83">
        <v>0</v>
      </c>
      <c r="J121" s="83">
        <v>0</v>
      </c>
      <c r="K121" s="83">
        <v>0</v>
      </c>
      <c r="L121" s="83">
        <v>0</v>
      </c>
      <c r="M121" s="83">
        <v>0</v>
      </c>
      <c r="N121" s="83">
        <v>0</v>
      </c>
      <c r="O121" s="83">
        <v>0</v>
      </c>
      <c r="P121" s="83">
        <v>0</v>
      </c>
      <c r="Q121" s="83">
        <v>0</v>
      </c>
      <c r="R121" s="83">
        <v>0</v>
      </c>
      <c r="S121" s="83">
        <v>0</v>
      </c>
      <c r="T121" s="83">
        <v>0</v>
      </c>
      <c r="U121" s="83">
        <v>0</v>
      </c>
      <c r="V121" s="83">
        <v>0</v>
      </c>
      <c r="W121" s="83">
        <v>0</v>
      </c>
      <c r="X121" s="83">
        <v>0</v>
      </c>
      <c r="Y121" s="83">
        <v>0</v>
      </c>
      <c r="Z121" s="83">
        <v>11</v>
      </c>
      <c r="AA121" s="83">
        <v>7</v>
      </c>
      <c r="AB121" s="83">
        <v>8</v>
      </c>
      <c r="AC121" s="1">
        <v>13</v>
      </c>
      <c r="AD121" s="1">
        <v>13</v>
      </c>
      <c r="AE121" s="1">
        <v>17</v>
      </c>
      <c r="AF121" s="1">
        <v>8</v>
      </c>
    </row>
    <row r="122" spans="1:32" s="57" customFormat="1" ht="15.75" customHeight="1">
      <c r="A122" s="1" t="s">
        <v>159</v>
      </c>
      <c r="B122" s="1" t="s">
        <v>48</v>
      </c>
      <c r="C122" s="82">
        <v>35065</v>
      </c>
      <c r="D122" s="83">
        <v>0</v>
      </c>
      <c r="E122" s="83">
        <v>0</v>
      </c>
      <c r="F122" s="83">
        <v>0</v>
      </c>
      <c r="G122" s="83">
        <v>0</v>
      </c>
      <c r="H122" s="83">
        <v>0</v>
      </c>
      <c r="I122" s="83">
        <v>0</v>
      </c>
      <c r="J122" s="83">
        <v>0</v>
      </c>
      <c r="K122" s="83">
        <v>0</v>
      </c>
      <c r="L122" s="83">
        <v>0</v>
      </c>
      <c r="M122" s="83">
        <v>0</v>
      </c>
      <c r="N122" s="83">
        <v>0</v>
      </c>
      <c r="O122" s="83">
        <v>0</v>
      </c>
      <c r="P122" s="83">
        <v>0</v>
      </c>
      <c r="Q122" s="83">
        <v>0</v>
      </c>
      <c r="R122" s="83">
        <v>0</v>
      </c>
      <c r="S122" s="83">
        <v>0</v>
      </c>
      <c r="T122" s="83">
        <v>0</v>
      </c>
      <c r="U122" s="83">
        <v>0</v>
      </c>
      <c r="V122" s="83">
        <v>0</v>
      </c>
      <c r="W122" s="83">
        <v>0</v>
      </c>
      <c r="X122" s="83">
        <v>0</v>
      </c>
      <c r="Y122" s="83">
        <v>0</v>
      </c>
      <c r="Z122" s="83">
        <v>0</v>
      </c>
      <c r="AA122" s="83">
        <v>0</v>
      </c>
      <c r="AB122" s="83">
        <v>0</v>
      </c>
      <c r="AC122" s="83">
        <v>0</v>
      </c>
      <c r="AD122" s="83">
        <v>0</v>
      </c>
      <c r="AE122" s="83">
        <v>0</v>
      </c>
      <c r="AF122" s="1">
        <v>1</v>
      </c>
    </row>
    <row r="123" spans="1:32" s="57" customFormat="1" ht="15.75" customHeight="1">
      <c r="A123" s="1" t="s">
        <v>160</v>
      </c>
      <c r="B123" s="1" t="s">
        <v>43</v>
      </c>
      <c r="C123" s="82">
        <v>36365</v>
      </c>
      <c r="D123" s="83">
        <v>0</v>
      </c>
      <c r="E123" s="83">
        <v>0</v>
      </c>
      <c r="F123" s="83">
        <v>0</v>
      </c>
      <c r="G123" s="81">
        <v>0</v>
      </c>
      <c r="H123" s="83">
        <v>0</v>
      </c>
      <c r="I123" s="83">
        <v>0</v>
      </c>
      <c r="J123" s="83">
        <v>0</v>
      </c>
      <c r="K123" s="83">
        <v>0</v>
      </c>
      <c r="L123" s="83">
        <v>0</v>
      </c>
      <c r="M123" s="83">
        <v>0</v>
      </c>
      <c r="N123" s="83">
        <v>0</v>
      </c>
      <c r="O123" s="83">
        <v>0</v>
      </c>
      <c r="P123" s="83">
        <v>0</v>
      </c>
      <c r="Q123" s="83">
        <v>0</v>
      </c>
      <c r="R123" s="83">
        <v>0</v>
      </c>
      <c r="S123" s="83">
        <v>0</v>
      </c>
      <c r="T123" s="83">
        <v>0</v>
      </c>
      <c r="U123" s="83">
        <v>0</v>
      </c>
      <c r="V123" s="83">
        <v>0</v>
      </c>
      <c r="W123" s="83">
        <v>0</v>
      </c>
      <c r="X123" s="83">
        <v>0</v>
      </c>
      <c r="Y123" s="83">
        <v>0</v>
      </c>
      <c r="Z123" s="83">
        <v>0</v>
      </c>
      <c r="AA123" s="83">
        <v>0</v>
      </c>
      <c r="AB123" s="83">
        <v>1</v>
      </c>
      <c r="AC123" s="1">
        <v>0</v>
      </c>
      <c r="AD123" s="1">
        <v>0</v>
      </c>
      <c r="AE123" s="1">
        <v>0</v>
      </c>
      <c r="AF123" s="1">
        <v>0</v>
      </c>
    </row>
    <row r="124" spans="1:32" s="57" customFormat="1" ht="15.75" customHeight="1">
      <c r="A124" s="1" t="s">
        <v>161</v>
      </c>
      <c r="B124" s="1" t="s">
        <v>28</v>
      </c>
      <c r="C124" s="82">
        <v>42370</v>
      </c>
      <c r="D124" s="83">
        <v>0</v>
      </c>
      <c r="E124" s="83">
        <v>0</v>
      </c>
      <c r="F124" s="83">
        <v>0</v>
      </c>
      <c r="G124" s="83">
        <v>0</v>
      </c>
      <c r="H124" s="83">
        <v>0</v>
      </c>
      <c r="I124" s="83">
        <v>0</v>
      </c>
      <c r="J124" s="83">
        <v>0</v>
      </c>
      <c r="K124" s="83">
        <v>0</v>
      </c>
      <c r="L124" s="83">
        <v>0</v>
      </c>
      <c r="M124" s="83">
        <v>0</v>
      </c>
      <c r="N124" s="83">
        <v>0</v>
      </c>
      <c r="O124" s="83">
        <v>0</v>
      </c>
      <c r="P124" s="83">
        <v>0</v>
      </c>
      <c r="Q124" s="83">
        <v>0</v>
      </c>
      <c r="R124" s="83">
        <v>0</v>
      </c>
      <c r="S124" s="83">
        <v>0</v>
      </c>
      <c r="T124" s="83">
        <v>0</v>
      </c>
      <c r="U124" s="83">
        <v>0</v>
      </c>
      <c r="V124" s="83">
        <v>0</v>
      </c>
      <c r="W124" s="83">
        <v>0</v>
      </c>
      <c r="X124" s="83">
        <v>0</v>
      </c>
      <c r="Y124" s="83">
        <v>0</v>
      </c>
      <c r="Z124" s="83">
        <v>0</v>
      </c>
      <c r="AA124" s="83">
        <v>0</v>
      </c>
      <c r="AB124" s="83">
        <v>0</v>
      </c>
      <c r="AC124" s="83">
        <v>0</v>
      </c>
      <c r="AD124" s="83">
        <v>0</v>
      </c>
      <c r="AE124" s="83">
        <v>0</v>
      </c>
      <c r="AF124" s="1">
        <v>2</v>
      </c>
    </row>
    <row r="125" spans="1:32" s="57" customFormat="1" ht="15.75" customHeight="1">
      <c r="A125" s="1" t="s">
        <v>162</v>
      </c>
      <c r="B125" s="1" t="s">
        <v>163</v>
      </c>
      <c r="C125" s="82" t="s">
        <v>164</v>
      </c>
      <c r="D125" s="83">
        <v>0</v>
      </c>
      <c r="E125" s="83">
        <v>0</v>
      </c>
      <c r="F125" s="83">
        <v>0</v>
      </c>
      <c r="G125" s="81">
        <v>2</v>
      </c>
      <c r="H125" s="83">
        <v>0</v>
      </c>
      <c r="I125" s="83">
        <v>0</v>
      </c>
      <c r="J125" s="83">
        <v>0</v>
      </c>
      <c r="K125" s="83">
        <v>0</v>
      </c>
      <c r="L125" s="83">
        <v>0</v>
      </c>
      <c r="M125" s="83">
        <v>2</v>
      </c>
      <c r="N125" s="83">
        <v>12</v>
      </c>
      <c r="O125" s="83">
        <v>3</v>
      </c>
      <c r="P125" s="83">
        <v>7</v>
      </c>
      <c r="Q125" s="83">
        <v>9</v>
      </c>
      <c r="R125" s="83">
        <v>6</v>
      </c>
      <c r="S125" s="83">
        <v>2</v>
      </c>
      <c r="T125" s="83">
        <v>1</v>
      </c>
      <c r="U125" s="83">
        <v>0</v>
      </c>
      <c r="V125" s="83">
        <v>0</v>
      </c>
      <c r="W125" s="83">
        <v>3</v>
      </c>
      <c r="X125" s="83">
        <v>2</v>
      </c>
      <c r="Y125" s="83">
        <v>6</v>
      </c>
      <c r="Z125" s="83">
        <v>6</v>
      </c>
      <c r="AA125" s="83">
        <v>5</v>
      </c>
      <c r="AB125" s="83">
        <v>10</v>
      </c>
      <c r="AC125" s="1">
        <v>8</v>
      </c>
      <c r="AD125" s="1">
        <v>5</v>
      </c>
      <c r="AE125" s="1">
        <v>8</v>
      </c>
      <c r="AF125" s="1">
        <v>13</v>
      </c>
    </row>
    <row r="126" spans="1:32" ht="15.75" customHeight="1">
      <c r="A126" s="1" t="s">
        <v>165</v>
      </c>
      <c r="B126" s="1" t="s">
        <v>28</v>
      </c>
      <c r="C126" s="82" t="s">
        <v>166</v>
      </c>
      <c r="D126" s="83">
        <v>0</v>
      </c>
      <c r="E126" s="83">
        <v>0</v>
      </c>
      <c r="F126" s="83">
        <v>0</v>
      </c>
      <c r="G126" s="81">
        <v>0</v>
      </c>
      <c r="H126" s="83">
        <v>0</v>
      </c>
      <c r="I126" s="83">
        <v>0</v>
      </c>
      <c r="J126" s="83">
        <v>0</v>
      </c>
      <c r="K126" s="83">
        <v>0</v>
      </c>
      <c r="L126" s="83">
        <v>0</v>
      </c>
      <c r="M126" s="83">
        <v>0</v>
      </c>
      <c r="N126" s="83">
        <v>0</v>
      </c>
      <c r="O126" s="83">
        <v>0</v>
      </c>
      <c r="P126" s="83">
        <v>0</v>
      </c>
      <c r="Q126" s="83">
        <v>0</v>
      </c>
      <c r="R126" s="83">
        <v>0</v>
      </c>
      <c r="S126" s="83">
        <v>0</v>
      </c>
      <c r="T126" s="83">
        <v>0</v>
      </c>
      <c r="U126" s="83">
        <v>0</v>
      </c>
      <c r="V126" s="83">
        <v>0</v>
      </c>
      <c r="W126" s="83">
        <v>0</v>
      </c>
      <c r="X126" s="83">
        <v>0</v>
      </c>
      <c r="Y126" s="83">
        <v>0</v>
      </c>
      <c r="Z126" s="83">
        <v>0</v>
      </c>
      <c r="AA126" s="83">
        <v>0</v>
      </c>
      <c r="AB126" s="83">
        <v>2</v>
      </c>
      <c r="AC126" s="1">
        <v>3</v>
      </c>
      <c r="AD126" s="1">
        <v>4</v>
      </c>
      <c r="AE126" s="1">
        <v>8</v>
      </c>
      <c r="AF126" s="1">
        <v>9</v>
      </c>
    </row>
    <row r="127" spans="1:32" s="57" customFormat="1" ht="15.75" customHeight="1">
      <c r="A127" s="1" t="s">
        <v>167</v>
      </c>
      <c r="B127" s="1" t="s">
        <v>33</v>
      </c>
      <c r="C127" s="82" t="s">
        <v>168</v>
      </c>
      <c r="D127" s="83">
        <v>0</v>
      </c>
      <c r="E127" s="83">
        <v>0</v>
      </c>
      <c r="F127" s="83">
        <v>0</v>
      </c>
      <c r="G127" s="81">
        <v>0</v>
      </c>
      <c r="H127" s="83">
        <v>0</v>
      </c>
      <c r="I127" s="83">
        <v>1</v>
      </c>
      <c r="J127" s="83">
        <v>1</v>
      </c>
      <c r="K127" s="83">
        <v>1</v>
      </c>
      <c r="L127" s="83">
        <v>1</v>
      </c>
      <c r="M127" s="83">
        <v>1</v>
      </c>
      <c r="N127" s="83">
        <v>0</v>
      </c>
      <c r="O127" s="83">
        <v>3</v>
      </c>
      <c r="P127" s="83">
        <v>2</v>
      </c>
      <c r="Q127" s="83">
        <v>3</v>
      </c>
      <c r="R127" s="83">
        <v>5</v>
      </c>
      <c r="S127" s="83">
        <v>3</v>
      </c>
      <c r="T127" s="83">
        <v>3</v>
      </c>
      <c r="U127" s="83">
        <v>4</v>
      </c>
      <c r="V127" s="83">
        <v>0</v>
      </c>
      <c r="W127" s="83">
        <v>11</v>
      </c>
      <c r="X127" s="83">
        <v>13</v>
      </c>
      <c r="Y127" s="83">
        <v>10</v>
      </c>
      <c r="Z127" s="83">
        <v>6</v>
      </c>
      <c r="AA127" s="83">
        <v>5</v>
      </c>
      <c r="AB127" s="83">
        <v>5</v>
      </c>
      <c r="AC127" s="1">
        <v>9</v>
      </c>
      <c r="AD127" s="1">
        <v>13</v>
      </c>
      <c r="AE127" s="1">
        <v>18</v>
      </c>
      <c r="AF127" s="1">
        <v>20</v>
      </c>
    </row>
    <row r="128" spans="1:32" s="57" customFormat="1" ht="15.75" customHeight="1">
      <c r="A128" s="1" t="s">
        <v>169</v>
      </c>
      <c r="B128" s="1" t="s">
        <v>58</v>
      </c>
      <c r="C128" s="82" t="s">
        <v>170</v>
      </c>
      <c r="D128" s="83">
        <v>0</v>
      </c>
      <c r="E128" s="83">
        <v>0</v>
      </c>
      <c r="F128" s="83">
        <v>0</v>
      </c>
      <c r="G128" s="81">
        <v>0</v>
      </c>
      <c r="H128" s="83">
        <v>0</v>
      </c>
      <c r="I128" s="83">
        <v>0</v>
      </c>
      <c r="J128" s="83">
        <v>1</v>
      </c>
      <c r="K128" s="83">
        <v>1</v>
      </c>
      <c r="L128" s="83">
        <v>1</v>
      </c>
      <c r="M128" s="83">
        <v>0</v>
      </c>
      <c r="N128" s="83">
        <v>2</v>
      </c>
      <c r="O128" s="83">
        <v>2</v>
      </c>
      <c r="P128" s="83">
        <v>1</v>
      </c>
      <c r="Q128" s="83">
        <v>0</v>
      </c>
      <c r="R128" s="83">
        <v>1</v>
      </c>
      <c r="S128" s="83">
        <v>0</v>
      </c>
      <c r="T128" s="83">
        <v>0</v>
      </c>
      <c r="U128" s="83">
        <v>0</v>
      </c>
      <c r="V128" s="83">
        <v>0</v>
      </c>
      <c r="W128" s="83">
        <v>0</v>
      </c>
      <c r="X128" s="83">
        <v>0</v>
      </c>
      <c r="Y128" s="83">
        <v>0</v>
      </c>
      <c r="Z128" s="83">
        <v>0</v>
      </c>
      <c r="AA128" s="83">
        <v>1</v>
      </c>
      <c r="AB128" s="83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5" s="65" customFormat="1" ht="15.75" customHeight="1">
      <c r="A129" s="1" t="s">
        <v>171</v>
      </c>
      <c r="B129" s="1" t="s">
        <v>28</v>
      </c>
      <c r="C129" s="82" t="s">
        <v>172</v>
      </c>
      <c r="D129" s="83">
        <v>0</v>
      </c>
      <c r="E129" s="83">
        <v>5</v>
      </c>
      <c r="F129" s="83">
        <v>0</v>
      </c>
      <c r="G129" s="81">
        <v>0</v>
      </c>
      <c r="H129" s="83">
        <v>9</v>
      </c>
      <c r="I129" s="83">
        <v>31</v>
      </c>
      <c r="J129" s="83">
        <v>10</v>
      </c>
      <c r="K129" s="83">
        <v>4</v>
      </c>
      <c r="L129" s="83">
        <v>0</v>
      </c>
      <c r="M129" s="83">
        <v>6</v>
      </c>
      <c r="N129" s="83">
        <v>7</v>
      </c>
      <c r="O129" s="83">
        <v>5</v>
      </c>
      <c r="P129" s="83">
        <v>3</v>
      </c>
      <c r="Q129" s="83">
        <v>1</v>
      </c>
      <c r="R129" s="83">
        <v>0</v>
      </c>
      <c r="S129" s="83">
        <v>2</v>
      </c>
      <c r="T129" s="83">
        <v>4</v>
      </c>
      <c r="U129" s="83">
        <v>2</v>
      </c>
      <c r="V129" s="83">
        <v>0</v>
      </c>
      <c r="W129" s="83">
        <v>3</v>
      </c>
      <c r="X129" s="83">
        <v>5</v>
      </c>
      <c r="Y129" s="83">
        <v>7</v>
      </c>
      <c r="Z129" s="83">
        <v>7</v>
      </c>
      <c r="AA129" s="83">
        <v>10</v>
      </c>
      <c r="AB129" s="83">
        <v>6</v>
      </c>
      <c r="AC129" s="1">
        <v>10</v>
      </c>
      <c r="AD129" s="1">
        <v>4</v>
      </c>
      <c r="AE129" s="1">
        <v>4</v>
      </c>
      <c r="AF129" s="1">
        <v>8</v>
      </c>
      <c r="AH129" s="57"/>
      <c r="AI129" s="57"/>
    </row>
    <row r="130" spans="1:35" ht="15.75" customHeight="1">
      <c r="AH130" s="57"/>
      <c r="AI130" s="57"/>
    </row>
    <row r="131" spans="1:35" ht="15.75" customHeight="1">
      <c r="AH131" s="57"/>
      <c r="AI131" s="57"/>
    </row>
    <row r="132" spans="1:35" ht="15.75" customHeight="1">
      <c r="AH132" s="57"/>
      <c r="AI132" s="57"/>
    </row>
    <row r="133" spans="1:35" ht="15.75" customHeight="1">
      <c r="AH133" s="57"/>
      <c r="AI133" s="57"/>
    </row>
    <row r="134" spans="1:35" ht="15.75" customHeight="1">
      <c r="AH134" s="57"/>
      <c r="AI134" s="57"/>
    </row>
    <row r="135" spans="1:35" ht="15.75" customHeight="1">
      <c r="AH135" s="57"/>
      <c r="AI135" s="57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2052-4726-42D4-8BAF-1C6E4E5C95D1}">
  <sheetPr>
    <tabColor theme="9" tint="0.39997558519241921"/>
  </sheetPr>
  <dimension ref="A1:O1444"/>
  <sheetViews>
    <sheetView zoomScale="90" zoomScaleNormal="90" workbookViewId="0">
      <selection activeCell="I17" sqref="I17"/>
    </sheetView>
  </sheetViews>
  <sheetFormatPr defaultColWidth="14.140625" defaultRowHeight="18.75" customHeight="1"/>
  <cols>
    <col min="1" max="1" width="17.42578125" style="7" customWidth="1"/>
    <col min="2" max="3" width="14.140625" style="9"/>
    <col min="4" max="4" width="18" style="7" customWidth="1"/>
    <col min="5" max="5" width="20.42578125" style="8" customWidth="1"/>
    <col min="6" max="6" width="21" style="7" customWidth="1"/>
    <col min="7" max="7" width="20.140625" style="7" customWidth="1"/>
    <col min="8" max="8" width="22.42578125" style="4" customWidth="1"/>
    <col min="9" max="9" width="18.85546875" style="4" customWidth="1"/>
    <col min="10" max="10" width="14.42578125" style="6" customWidth="1"/>
    <col min="11" max="11" width="14.140625" style="5"/>
    <col min="12" max="16384" width="14.140625" style="4"/>
  </cols>
  <sheetData>
    <row r="1" spans="1:15" s="16" customFormat="1" ht="43.5" customHeight="1">
      <c r="A1" s="66" t="s">
        <v>173</v>
      </c>
      <c r="B1" s="66" t="s">
        <v>174</v>
      </c>
      <c r="C1" s="66" t="s">
        <v>175</v>
      </c>
      <c r="D1" s="66" t="s">
        <v>176</v>
      </c>
      <c r="E1" s="66" t="s">
        <v>177</v>
      </c>
      <c r="F1" s="66" t="s">
        <v>178</v>
      </c>
      <c r="G1" s="66" t="s">
        <v>179</v>
      </c>
      <c r="H1" s="66" t="s">
        <v>180</v>
      </c>
      <c r="I1" s="66" t="s">
        <v>181</v>
      </c>
      <c r="J1" s="66" t="s">
        <v>182</v>
      </c>
      <c r="K1" s="66" t="s">
        <v>183</v>
      </c>
    </row>
    <row r="2" spans="1:15" s="14" customFormat="1" ht="18.75" customHeight="1">
      <c r="A2" s="67" t="s">
        <v>184</v>
      </c>
      <c r="B2" s="67" t="s">
        <v>185</v>
      </c>
      <c r="C2" s="67" t="s">
        <v>186</v>
      </c>
      <c r="D2" s="67" t="s">
        <v>187</v>
      </c>
      <c r="E2" s="68">
        <v>45798</v>
      </c>
      <c r="F2" s="68"/>
      <c r="G2" s="68" t="str">
        <f t="shared" ref="G2:G33" si="0">IF(F2="n/a","N/A",IF(AND(F2&gt;0,H2=""),"WITH ADMIN","PENDING"))</f>
        <v>PENDING</v>
      </c>
      <c r="H2" s="68"/>
      <c r="I2" s="68"/>
      <c r="J2" s="68">
        <v>45958</v>
      </c>
      <c r="K2" s="69">
        <v>57500</v>
      </c>
    </row>
    <row r="3" spans="1:15" s="14" customFormat="1" ht="18.75" customHeight="1">
      <c r="A3" s="67" t="s">
        <v>184</v>
      </c>
      <c r="B3" s="67" t="s">
        <v>188</v>
      </c>
      <c r="C3" s="67" t="s">
        <v>189</v>
      </c>
      <c r="D3" s="67" t="s">
        <v>190</v>
      </c>
      <c r="E3" s="68">
        <v>45856</v>
      </c>
      <c r="F3" s="68">
        <v>45876</v>
      </c>
      <c r="G3" s="68" t="str">
        <f t="shared" si="0"/>
        <v>WITH ADMIN</v>
      </c>
      <c r="H3" s="68"/>
      <c r="I3" s="68"/>
      <c r="J3" s="68">
        <v>46022</v>
      </c>
      <c r="K3" s="69">
        <v>50000</v>
      </c>
    </row>
    <row r="4" spans="1:15" s="14" customFormat="1" ht="18.75" customHeight="1">
      <c r="A4" s="67" t="s">
        <v>184</v>
      </c>
      <c r="B4" s="67" t="s">
        <v>191</v>
      </c>
      <c r="C4" s="67" t="s">
        <v>186</v>
      </c>
      <c r="D4" s="67" t="s">
        <v>190</v>
      </c>
      <c r="E4" s="68">
        <v>45798</v>
      </c>
      <c r="F4" s="68"/>
      <c r="G4" s="68" t="str">
        <f t="shared" si="0"/>
        <v>PENDING</v>
      </c>
      <c r="H4" s="68" t="s">
        <v>192</v>
      </c>
      <c r="I4" s="68"/>
      <c r="J4" s="68">
        <v>46022</v>
      </c>
      <c r="K4" s="69">
        <v>60000</v>
      </c>
    </row>
    <row r="5" spans="1:15" s="14" customFormat="1" ht="18.75" customHeight="1">
      <c r="A5" s="67" t="s">
        <v>184</v>
      </c>
      <c r="B5" s="67" t="s">
        <v>185</v>
      </c>
      <c r="C5" s="67" t="s">
        <v>186</v>
      </c>
      <c r="D5" s="67" t="s">
        <v>193</v>
      </c>
      <c r="E5" s="68">
        <v>45799</v>
      </c>
      <c r="F5" s="68">
        <v>45688</v>
      </c>
      <c r="G5" s="68" t="str">
        <f t="shared" si="0"/>
        <v>PENDING</v>
      </c>
      <c r="H5" s="68">
        <v>45721</v>
      </c>
      <c r="I5" s="68">
        <v>45748</v>
      </c>
      <c r="J5" s="68">
        <v>45747</v>
      </c>
      <c r="K5" s="69">
        <v>12500</v>
      </c>
    </row>
    <row r="6" spans="1:15" s="14" customFormat="1" ht="18.75" customHeight="1">
      <c r="A6" s="67" t="s">
        <v>194</v>
      </c>
      <c r="B6" s="67" t="s">
        <v>185</v>
      </c>
      <c r="C6" s="67" t="s">
        <v>189</v>
      </c>
      <c r="D6" s="67" t="s">
        <v>187</v>
      </c>
      <c r="E6" s="68">
        <v>45658</v>
      </c>
      <c r="F6" s="68">
        <v>45689</v>
      </c>
      <c r="G6" s="68" t="str">
        <f t="shared" si="0"/>
        <v>PENDING</v>
      </c>
      <c r="H6" s="68">
        <v>45719</v>
      </c>
      <c r="I6" s="68">
        <v>45811</v>
      </c>
      <c r="J6" s="68">
        <v>45752</v>
      </c>
      <c r="K6" s="69">
        <v>57500</v>
      </c>
    </row>
    <row r="7" spans="1:15" s="14" customFormat="1" ht="18.75" customHeight="1">
      <c r="A7" s="67" t="s">
        <v>194</v>
      </c>
      <c r="B7" s="67" t="s">
        <v>185</v>
      </c>
      <c r="C7" s="67" t="s">
        <v>195</v>
      </c>
      <c r="D7" s="67" t="s">
        <v>193</v>
      </c>
      <c r="E7" s="68">
        <v>45732</v>
      </c>
      <c r="F7" s="68">
        <v>45690</v>
      </c>
      <c r="G7" s="68" t="str">
        <f t="shared" si="0"/>
        <v>PENDING</v>
      </c>
      <c r="H7" s="68">
        <v>45751</v>
      </c>
      <c r="I7" s="68">
        <v>45839</v>
      </c>
      <c r="J7" s="68">
        <v>46022</v>
      </c>
      <c r="K7" s="69">
        <v>17500</v>
      </c>
    </row>
    <row r="8" spans="1:15" s="14" customFormat="1" ht="18.75" customHeight="1">
      <c r="A8" s="67" t="s">
        <v>194</v>
      </c>
      <c r="B8" s="67" t="s">
        <v>196</v>
      </c>
      <c r="C8" s="67" t="s">
        <v>186</v>
      </c>
      <c r="D8" s="67" t="s">
        <v>193</v>
      </c>
      <c r="E8" s="68">
        <v>45799</v>
      </c>
      <c r="F8" s="68"/>
      <c r="G8" s="68" t="str">
        <f t="shared" si="0"/>
        <v>PENDING</v>
      </c>
      <c r="H8" s="68"/>
      <c r="I8" s="68"/>
      <c r="J8" s="68">
        <v>45747</v>
      </c>
      <c r="K8" s="69">
        <v>32500</v>
      </c>
    </row>
    <row r="9" spans="1:15" ht="18.75" customHeight="1">
      <c r="A9" s="67" t="s">
        <v>194</v>
      </c>
      <c r="B9" s="67" t="s">
        <v>197</v>
      </c>
      <c r="C9" s="67" t="s">
        <v>189</v>
      </c>
      <c r="D9" s="67" t="s">
        <v>190</v>
      </c>
      <c r="E9" s="68">
        <v>45856</v>
      </c>
      <c r="F9" s="68">
        <v>45876</v>
      </c>
      <c r="G9" s="68" t="str">
        <f t="shared" si="0"/>
        <v>WITH ADMIN</v>
      </c>
      <c r="H9" s="68"/>
      <c r="I9" s="68"/>
      <c r="J9" s="68">
        <v>46022</v>
      </c>
      <c r="K9" s="69">
        <v>45000</v>
      </c>
    </row>
    <row r="10" spans="1:15" s="14" customFormat="1" ht="18.75" customHeight="1">
      <c r="A10" s="67" t="s">
        <v>184</v>
      </c>
      <c r="B10" s="67" t="s">
        <v>198</v>
      </c>
      <c r="C10" s="67" t="s">
        <v>189</v>
      </c>
      <c r="D10" s="67" t="s">
        <v>199</v>
      </c>
      <c r="E10" s="68">
        <v>45658</v>
      </c>
      <c r="F10" s="68"/>
      <c r="G10" s="68" t="str">
        <f t="shared" si="0"/>
        <v>PENDING</v>
      </c>
      <c r="H10" s="68"/>
      <c r="I10" s="68"/>
      <c r="J10" s="68">
        <v>45838</v>
      </c>
      <c r="K10" s="69">
        <v>25000</v>
      </c>
    </row>
    <row r="11" spans="1:15" s="14" customFormat="1" ht="18.75" customHeight="1">
      <c r="A11" s="67" t="s">
        <v>184</v>
      </c>
      <c r="B11" s="67" t="s">
        <v>200</v>
      </c>
      <c r="C11" s="67" t="s">
        <v>186</v>
      </c>
      <c r="D11" s="67" t="s">
        <v>193</v>
      </c>
      <c r="E11" s="68"/>
      <c r="F11" s="68"/>
      <c r="G11" s="68" t="str">
        <f t="shared" si="0"/>
        <v>PENDING</v>
      </c>
      <c r="H11" s="68"/>
      <c r="I11" s="68"/>
      <c r="J11" s="68">
        <v>46022</v>
      </c>
      <c r="K11" s="69">
        <v>15000</v>
      </c>
    </row>
    <row r="12" spans="1:15" s="14" customFormat="1" ht="18.75" customHeight="1">
      <c r="A12" s="67" t="s">
        <v>184</v>
      </c>
      <c r="B12" s="67" t="s">
        <v>198</v>
      </c>
      <c r="C12" s="67" t="s">
        <v>186</v>
      </c>
      <c r="D12" s="67" t="s">
        <v>199</v>
      </c>
      <c r="E12" s="68"/>
      <c r="F12" s="68"/>
      <c r="G12" s="68" t="str">
        <f t="shared" si="0"/>
        <v>PENDING</v>
      </c>
      <c r="H12" s="68"/>
      <c r="I12" s="68"/>
      <c r="J12" s="68">
        <v>46022</v>
      </c>
      <c r="K12" s="69">
        <v>15000</v>
      </c>
    </row>
    <row r="13" spans="1:15" s="14" customFormat="1" ht="18.75" customHeight="1">
      <c r="A13" s="67" t="s">
        <v>184</v>
      </c>
      <c r="B13" s="67" t="s">
        <v>185</v>
      </c>
      <c r="C13" s="67" t="s">
        <v>186</v>
      </c>
      <c r="D13" s="67" t="s">
        <v>199</v>
      </c>
      <c r="E13" s="68"/>
      <c r="F13" s="68"/>
      <c r="G13" s="68" t="str">
        <f t="shared" si="0"/>
        <v>PENDING</v>
      </c>
      <c r="H13" s="68"/>
      <c r="I13" s="68"/>
      <c r="J13" s="68">
        <v>46022</v>
      </c>
      <c r="K13" s="69">
        <v>17500</v>
      </c>
    </row>
    <row r="14" spans="1:15" s="14" customFormat="1" ht="18.75" customHeight="1">
      <c r="A14" s="67" t="s">
        <v>184</v>
      </c>
      <c r="B14" s="67" t="s">
        <v>201</v>
      </c>
      <c r="C14" s="67" t="s">
        <v>186</v>
      </c>
      <c r="D14" s="67" t="s">
        <v>199</v>
      </c>
      <c r="E14" s="68"/>
      <c r="F14" s="68"/>
      <c r="G14" s="68" t="str">
        <f t="shared" si="0"/>
        <v>PENDING</v>
      </c>
      <c r="H14" s="68"/>
      <c r="I14" s="68"/>
      <c r="J14" s="68">
        <v>46022</v>
      </c>
      <c r="K14" s="69">
        <v>10000</v>
      </c>
    </row>
    <row r="15" spans="1:15" s="14" customFormat="1" ht="18.75" customHeight="1">
      <c r="A15" s="67" t="s">
        <v>184</v>
      </c>
      <c r="B15" s="67" t="s">
        <v>202</v>
      </c>
      <c r="C15" s="67" t="s">
        <v>186</v>
      </c>
      <c r="D15" s="67" t="s">
        <v>193</v>
      </c>
      <c r="E15" s="68"/>
      <c r="F15" s="68"/>
      <c r="G15" s="68" t="str">
        <f t="shared" si="0"/>
        <v>PENDING</v>
      </c>
      <c r="H15" s="68"/>
      <c r="I15" s="68"/>
      <c r="J15" s="68">
        <v>46022</v>
      </c>
      <c r="K15" s="69">
        <v>20000</v>
      </c>
    </row>
    <row r="16" spans="1:15" ht="18.75" customHeight="1">
      <c r="A16" s="67" t="s">
        <v>184</v>
      </c>
      <c r="B16" s="67" t="s">
        <v>185</v>
      </c>
      <c r="C16" s="67" t="s">
        <v>189</v>
      </c>
      <c r="D16" s="67" t="s">
        <v>190</v>
      </c>
      <c r="E16" s="68">
        <v>45798</v>
      </c>
      <c r="F16" s="68">
        <v>45877</v>
      </c>
      <c r="G16" s="68" t="str">
        <f t="shared" si="0"/>
        <v>WITH ADMIN</v>
      </c>
      <c r="H16" s="68"/>
      <c r="I16" s="68"/>
      <c r="J16" s="68">
        <v>46022</v>
      </c>
      <c r="K16" s="69">
        <v>40000</v>
      </c>
    </row>
    <row r="17" spans="1:13" s="14" customFormat="1" ht="18.75" customHeight="1">
      <c r="A17" s="67" t="s">
        <v>184</v>
      </c>
      <c r="B17" s="67" t="s">
        <v>203</v>
      </c>
      <c r="C17" s="67" t="s">
        <v>186</v>
      </c>
      <c r="D17" s="67" t="s">
        <v>199</v>
      </c>
      <c r="E17" s="68"/>
      <c r="F17" s="68"/>
      <c r="G17" s="68" t="str">
        <f t="shared" si="0"/>
        <v>PENDING</v>
      </c>
      <c r="H17" s="68"/>
      <c r="I17" s="68"/>
      <c r="J17" s="68">
        <v>46022</v>
      </c>
      <c r="K17" s="69">
        <v>42500</v>
      </c>
    </row>
    <row r="18" spans="1:13" ht="18.75" customHeight="1">
      <c r="A18" s="67" t="s">
        <v>184</v>
      </c>
      <c r="B18" s="67" t="s">
        <v>203</v>
      </c>
      <c r="C18" s="67" t="s">
        <v>186</v>
      </c>
      <c r="D18" s="67" t="s">
        <v>199</v>
      </c>
      <c r="E18" s="68"/>
      <c r="F18" s="68"/>
      <c r="G18" s="68" t="str">
        <f t="shared" si="0"/>
        <v>PENDING</v>
      </c>
      <c r="H18" s="68"/>
      <c r="I18" s="68"/>
      <c r="J18" s="68">
        <v>46022</v>
      </c>
      <c r="K18" s="69">
        <v>47500</v>
      </c>
    </row>
    <row r="19" spans="1:13" s="14" customFormat="1" ht="18.75" customHeight="1">
      <c r="A19" s="67" t="s">
        <v>184</v>
      </c>
      <c r="B19" s="67" t="s">
        <v>203</v>
      </c>
      <c r="C19" s="67" t="s">
        <v>186</v>
      </c>
      <c r="D19" s="67" t="s">
        <v>190</v>
      </c>
      <c r="E19" s="68"/>
      <c r="F19" s="68"/>
      <c r="G19" s="68" t="str">
        <f t="shared" si="0"/>
        <v>PENDING</v>
      </c>
      <c r="H19" s="68"/>
      <c r="I19" s="68"/>
      <c r="J19" s="68">
        <v>45752</v>
      </c>
      <c r="K19" s="69">
        <v>50000</v>
      </c>
    </row>
    <row r="20" spans="1:13" ht="18.75" customHeight="1">
      <c r="A20" s="67" t="s">
        <v>204</v>
      </c>
      <c r="B20" s="67" t="s">
        <v>203</v>
      </c>
      <c r="C20" s="67" t="s">
        <v>186</v>
      </c>
      <c r="D20" s="67" t="s">
        <v>190</v>
      </c>
      <c r="E20" s="68"/>
      <c r="F20" s="68"/>
      <c r="G20" s="68" t="str">
        <f t="shared" si="0"/>
        <v>PENDING</v>
      </c>
      <c r="H20" s="68" t="s">
        <v>192</v>
      </c>
      <c r="I20" s="68"/>
      <c r="J20" s="68">
        <v>45752</v>
      </c>
      <c r="K20" s="69">
        <v>50000</v>
      </c>
    </row>
    <row r="21" spans="1:13" ht="18.75" customHeight="1">
      <c r="A21" s="67" t="s">
        <v>204</v>
      </c>
      <c r="B21" s="67" t="s">
        <v>201</v>
      </c>
      <c r="C21" s="67" t="s">
        <v>189</v>
      </c>
      <c r="D21" s="67" t="s">
        <v>190</v>
      </c>
      <c r="E21" s="68"/>
      <c r="F21" s="68"/>
      <c r="G21" s="68" t="str">
        <f t="shared" si="0"/>
        <v>PENDING</v>
      </c>
      <c r="H21" s="68" t="s">
        <v>192</v>
      </c>
      <c r="I21" s="68"/>
      <c r="J21" s="68">
        <v>45752</v>
      </c>
      <c r="K21" s="69">
        <v>40000</v>
      </c>
    </row>
    <row r="22" spans="1:13" ht="18.75" customHeight="1">
      <c r="A22" s="67" t="s">
        <v>204</v>
      </c>
      <c r="B22" s="67" t="s">
        <v>201</v>
      </c>
      <c r="C22" s="67" t="s">
        <v>195</v>
      </c>
      <c r="D22" s="67" t="s">
        <v>199</v>
      </c>
      <c r="E22" s="68"/>
      <c r="F22" s="68"/>
      <c r="G22" s="68" t="str">
        <f t="shared" si="0"/>
        <v>PENDING</v>
      </c>
      <c r="H22" s="68"/>
      <c r="I22" s="68"/>
      <c r="J22" s="68">
        <v>46022</v>
      </c>
      <c r="K22" s="69">
        <v>65000</v>
      </c>
      <c r="M22" s="8"/>
    </row>
    <row r="23" spans="1:13" s="14" customFormat="1" ht="18.75" customHeight="1">
      <c r="A23" s="67" t="s">
        <v>204</v>
      </c>
      <c r="B23" s="67" t="s">
        <v>185</v>
      </c>
      <c r="C23" s="67" t="s">
        <v>189</v>
      </c>
      <c r="D23" s="67" t="s">
        <v>199</v>
      </c>
      <c r="E23" s="68">
        <v>45798</v>
      </c>
      <c r="F23" s="68"/>
      <c r="G23" s="68" t="str">
        <f t="shared" si="0"/>
        <v>PENDING</v>
      </c>
      <c r="H23" s="68" t="s">
        <v>192</v>
      </c>
      <c r="I23" s="68"/>
      <c r="J23" s="68">
        <v>45752</v>
      </c>
      <c r="K23" s="69">
        <v>57500</v>
      </c>
      <c r="M23" s="15"/>
    </row>
    <row r="24" spans="1:13" s="14" customFormat="1" ht="18.75" customHeight="1">
      <c r="A24" s="67" t="s">
        <v>204</v>
      </c>
      <c r="B24" s="67" t="s">
        <v>185</v>
      </c>
      <c r="C24" s="67" t="s">
        <v>189</v>
      </c>
      <c r="D24" s="67" t="s">
        <v>190</v>
      </c>
      <c r="E24" s="68"/>
      <c r="F24" s="68"/>
      <c r="G24" s="68" t="str">
        <f t="shared" si="0"/>
        <v>PENDING</v>
      </c>
      <c r="H24" s="68" t="s">
        <v>192</v>
      </c>
      <c r="I24" s="68"/>
      <c r="J24" s="68">
        <v>45752</v>
      </c>
      <c r="K24" s="69">
        <v>42500</v>
      </c>
    </row>
    <row r="25" spans="1:13" s="14" customFormat="1" ht="18.75" customHeight="1">
      <c r="A25" s="67" t="s">
        <v>204</v>
      </c>
      <c r="B25" s="67" t="s">
        <v>198</v>
      </c>
      <c r="C25" s="67" t="s">
        <v>189</v>
      </c>
      <c r="D25" s="67" t="s">
        <v>187</v>
      </c>
      <c r="E25" s="68" t="s">
        <v>205</v>
      </c>
      <c r="F25" s="68" t="s">
        <v>205</v>
      </c>
      <c r="G25" s="68" t="str">
        <f t="shared" si="0"/>
        <v>PENDING</v>
      </c>
      <c r="H25" s="68" t="s">
        <v>205</v>
      </c>
      <c r="I25" s="68" t="s">
        <v>205</v>
      </c>
      <c r="J25" s="68">
        <v>45716</v>
      </c>
      <c r="K25" s="69">
        <v>52500</v>
      </c>
    </row>
    <row r="26" spans="1:13" s="14" customFormat="1" ht="18.75" customHeight="1">
      <c r="A26" s="67" t="s">
        <v>204</v>
      </c>
      <c r="B26" s="67" t="s">
        <v>198</v>
      </c>
      <c r="C26" s="67" t="s">
        <v>189</v>
      </c>
      <c r="D26" s="67" t="s">
        <v>187</v>
      </c>
      <c r="E26" s="68" t="s">
        <v>205</v>
      </c>
      <c r="F26" s="68" t="s">
        <v>205</v>
      </c>
      <c r="G26" s="68" t="str">
        <f t="shared" si="0"/>
        <v>PENDING</v>
      </c>
      <c r="H26" s="68" t="s">
        <v>205</v>
      </c>
      <c r="I26" s="68" t="s">
        <v>205</v>
      </c>
      <c r="J26" s="68">
        <v>45716</v>
      </c>
      <c r="K26" s="69">
        <v>60000</v>
      </c>
    </row>
    <row r="27" spans="1:13" s="14" customFormat="1" ht="18.75" customHeight="1">
      <c r="A27" s="67" t="s">
        <v>204</v>
      </c>
      <c r="B27" s="67" t="s">
        <v>198</v>
      </c>
      <c r="C27" s="67" t="s">
        <v>189</v>
      </c>
      <c r="D27" s="67" t="s">
        <v>187</v>
      </c>
      <c r="E27" s="68"/>
      <c r="F27" s="68"/>
      <c r="G27" s="68" t="str">
        <f t="shared" si="0"/>
        <v>PENDING</v>
      </c>
      <c r="H27" s="68">
        <v>45812</v>
      </c>
      <c r="I27" s="68"/>
      <c r="J27" s="68">
        <v>45716</v>
      </c>
      <c r="K27" s="69">
        <v>35000</v>
      </c>
    </row>
    <row r="28" spans="1:13" s="14" customFormat="1" ht="18.75" customHeight="1">
      <c r="A28" s="67" t="s">
        <v>204</v>
      </c>
      <c r="B28" s="67" t="s">
        <v>198</v>
      </c>
      <c r="C28" s="67" t="s">
        <v>186</v>
      </c>
      <c r="D28" s="67" t="s">
        <v>187</v>
      </c>
      <c r="E28" s="68"/>
      <c r="F28" s="68"/>
      <c r="G28" s="68" t="str">
        <f t="shared" si="0"/>
        <v>PENDING</v>
      </c>
      <c r="H28" s="68"/>
      <c r="I28" s="68"/>
      <c r="J28" s="68">
        <v>46022</v>
      </c>
      <c r="K28" s="69">
        <v>45000</v>
      </c>
    </row>
    <row r="29" spans="1:13" s="14" customFormat="1" ht="18.75" customHeight="1">
      <c r="A29" s="67" t="s">
        <v>204</v>
      </c>
      <c r="B29" s="67" t="s">
        <v>206</v>
      </c>
      <c r="C29" s="67" t="s">
        <v>186</v>
      </c>
      <c r="D29" s="67" t="s">
        <v>199</v>
      </c>
      <c r="E29" s="68">
        <v>45687</v>
      </c>
      <c r="F29" s="68">
        <v>45704</v>
      </c>
      <c r="G29" s="68" t="str">
        <f t="shared" si="0"/>
        <v>WITH ADMIN</v>
      </c>
      <c r="H29" s="68"/>
      <c r="I29" s="68"/>
      <c r="J29" s="68">
        <v>46022</v>
      </c>
      <c r="K29" s="69">
        <v>22500</v>
      </c>
    </row>
    <row r="30" spans="1:13" s="14" customFormat="1" ht="18.75" customHeight="1">
      <c r="A30" s="67" t="s">
        <v>204</v>
      </c>
      <c r="B30" s="67" t="s">
        <v>207</v>
      </c>
      <c r="C30" s="67" t="s">
        <v>186</v>
      </c>
      <c r="D30" s="67" t="s">
        <v>199</v>
      </c>
      <c r="E30" s="68">
        <v>45687</v>
      </c>
      <c r="F30" s="68">
        <v>45704</v>
      </c>
      <c r="G30" s="68" t="str">
        <f t="shared" si="0"/>
        <v>WITH ADMIN</v>
      </c>
      <c r="H30" s="68"/>
      <c r="I30" s="68"/>
      <c r="J30" s="68">
        <v>46022</v>
      </c>
      <c r="K30" s="69">
        <v>40000</v>
      </c>
    </row>
    <row r="31" spans="1:13" s="14" customFormat="1" ht="18.75" customHeight="1">
      <c r="A31" s="67" t="s">
        <v>204</v>
      </c>
      <c r="B31" s="67" t="s">
        <v>208</v>
      </c>
      <c r="C31" s="67" t="s">
        <v>186</v>
      </c>
      <c r="D31" s="67" t="s">
        <v>199</v>
      </c>
      <c r="E31" s="68"/>
      <c r="F31" s="68"/>
      <c r="G31" s="68" t="str">
        <f t="shared" si="0"/>
        <v>PENDING</v>
      </c>
      <c r="H31" s="68"/>
      <c r="I31" s="68"/>
      <c r="J31" s="68">
        <v>46022</v>
      </c>
      <c r="K31" s="69">
        <v>52500</v>
      </c>
    </row>
    <row r="32" spans="1:13" s="14" customFormat="1" ht="18.75" customHeight="1">
      <c r="A32" s="67" t="s">
        <v>204</v>
      </c>
      <c r="B32" s="67" t="s">
        <v>208</v>
      </c>
      <c r="C32" s="67" t="s">
        <v>189</v>
      </c>
      <c r="D32" s="67" t="s">
        <v>209</v>
      </c>
      <c r="E32" s="68"/>
      <c r="F32" s="68"/>
      <c r="G32" s="68" t="str">
        <f t="shared" si="0"/>
        <v>PENDING</v>
      </c>
      <c r="H32" s="68" t="s">
        <v>192</v>
      </c>
      <c r="I32" s="68"/>
      <c r="J32" s="68">
        <v>45752</v>
      </c>
      <c r="K32" s="69">
        <v>37500</v>
      </c>
    </row>
    <row r="33" spans="1:11" s="14" customFormat="1" ht="18.75" customHeight="1">
      <c r="A33" s="67" t="s">
        <v>204</v>
      </c>
      <c r="B33" s="67" t="s">
        <v>210</v>
      </c>
      <c r="C33" s="67" t="s">
        <v>189</v>
      </c>
      <c r="D33" s="67" t="s">
        <v>209</v>
      </c>
      <c r="E33" s="68"/>
      <c r="F33" s="68"/>
      <c r="G33" s="68" t="str">
        <f t="shared" si="0"/>
        <v>PENDING</v>
      </c>
      <c r="H33" s="68" t="s">
        <v>192</v>
      </c>
      <c r="I33" s="68"/>
      <c r="J33" s="68">
        <v>45752</v>
      </c>
      <c r="K33" s="69">
        <v>57500</v>
      </c>
    </row>
    <row r="34" spans="1:11" s="14" customFormat="1" ht="18.75" customHeight="1">
      <c r="A34" s="67" t="s">
        <v>204</v>
      </c>
      <c r="B34" s="67" t="s">
        <v>200</v>
      </c>
      <c r="C34" s="67" t="s">
        <v>186</v>
      </c>
      <c r="D34" s="67" t="s">
        <v>199</v>
      </c>
      <c r="E34" s="68"/>
      <c r="F34" s="68"/>
      <c r="G34" s="68" t="str">
        <f t="shared" ref="G34:G65" si="1">IF(F34="n/a","N/A",IF(AND(F34&gt;0,H34=""),"WITH ADMIN","PENDING"))</f>
        <v>PENDING</v>
      </c>
      <c r="H34" s="68" t="s">
        <v>192</v>
      </c>
      <c r="I34" s="68"/>
      <c r="J34" s="68">
        <v>45752</v>
      </c>
      <c r="K34" s="69">
        <v>22500</v>
      </c>
    </row>
    <row r="35" spans="1:11" s="14" customFormat="1" ht="18.75" customHeight="1">
      <c r="A35" s="67" t="s">
        <v>204</v>
      </c>
      <c r="B35" s="67" t="s">
        <v>185</v>
      </c>
      <c r="C35" s="67" t="s">
        <v>186</v>
      </c>
      <c r="D35" s="67" t="s">
        <v>199</v>
      </c>
      <c r="E35" s="68"/>
      <c r="F35" s="68"/>
      <c r="G35" s="68" t="str">
        <f t="shared" si="1"/>
        <v>PENDING</v>
      </c>
      <c r="H35" s="68" t="s">
        <v>192</v>
      </c>
      <c r="I35" s="68"/>
      <c r="J35" s="68">
        <v>45752</v>
      </c>
      <c r="K35" s="69">
        <v>37500</v>
      </c>
    </row>
    <row r="36" spans="1:11" s="14" customFormat="1" ht="18.75" customHeight="1">
      <c r="A36" s="67" t="s">
        <v>204</v>
      </c>
      <c r="B36" s="67" t="s">
        <v>185</v>
      </c>
      <c r="C36" s="67" t="s">
        <v>211</v>
      </c>
      <c r="D36" s="67" t="s">
        <v>193</v>
      </c>
      <c r="E36" s="68">
        <v>45854</v>
      </c>
      <c r="F36" s="68"/>
      <c r="G36" s="68" t="str">
        <f t="shared" si="1"/>
        <v>PENDING</v>
      </c>
      <c r="H36" s="68" t="s">
        <v>192</v>
      </c>
      <c r="I36" s="68"/>
      <c r="J36" s="68">
        <v>45752</v>
      </c>
      <c r="K36" s="69">
        <v>22500</v>
      </c>
    </row>
    <row r="37" spans="1:11" s="14" customFormat="1" ht="18.75" customHeight="1">
      <c r="A37" s="67" t="s">
        <v>204</v>
      </c>
      <c r="B37" s="67" t="s">
        <v>185</v>
      </c>
      <c r="C37" s="67" t="s">
        <v>186</v>
      </c>
      <c r="D37" s="67" t="s">
        <v>193</v>
      </c>
      <c r="E37" s="68">
        <v>45795</v>
      </c>
      <c r="F37" s="68"/>
      <c r="G37" s="68" t="str">
        <f t="shared" si="1"/>
        <v>PENDING</v>
      </c>
      <c r="H37" s="68" t="s">
        <v>192</v>
      </c>
      <c r="I37" s="68"/>
      <c r="J37" s="68">
        <v>45752</v>
      </c>
      <c r="K37" s="69">
        <v>40000</v>
      </c>
    </row>
    <row r="38" spans="1:11" ht="18.75" customHeight="1">
      <c r="A38" s="67" t="s">
        <v>204</v>
      </c>
      <c r="B38" s="67" t="s">
        <v>185</v>
      </c>
      <c r="C38" s="67" t="s">
        <v>189</v>
      </c>
      <c r="D38" s="67" t="s">
        <v>193</v>
      </c>
      <c r="E38" s="68">
        <v>45800</v>
      </c>
      <c r="F38" s="68"/>
      <c r="G38" s="68" t="str">
        <f t="shared" si="1"/>
        <v>PENDING</v>
      </c>
      <c r="H38" s="68" t="s">
        <v>192</v>
      </c>
      <c r="I38" s="68"/>
      <c r="J38" s="68">
        <v>45752</v>
      </c>
      <c r="K38" s="69">
        <v>60000</v>
      </c>
    </row>
    <row r="39" spans="1:11" s="14" customFormat="1" ht="18.75" customHeight="1">
      <c r="A39" s="67" t="s">
        <v>204</v>
      </c>
      <c r="B39" s="67" t="s">
        <v>185</v>
      </c>
      <c r="C39" s="67" t="s">
        <v>211</v>
      </c>
      <c r="D39" s="67" t="s">
        <v>209</v>
      </c>
      <c r="E39" s="68">
        <v>45955</v>
      </c>
      <c r="F39" s="68"/>
      <c r="G39" s="68" t="str">
        <f t="shared" si="1"/>
        <v>PENDING</v>
      </c>
      <c r="H39" s="68">
        <v>45812</v>
      </c>
      <c r="I39" s="68"/>
      <c r="J39" s="68">
        <v>45716</v>
      </c>
      <c r="K39" s="69">
        <v>45000</v>
      </c>
    </row>
    <row r="40" spans="1:11" ht="18.75" customHeight="1">
      <c r="A40" s="67" t="s">
        <v>204</v>
      </c>
      <c r="B40" s="67" t="s">
        <v>185</v>
      </c>
      <c r="C40" s="67" t="s">
        <v>189</v>
      </c>
      <c r="D40" s="67" t="s">
        <v>209</v>
      </c>
      <c r="E40" s="68">
        <v>45955</v>
      </c>
      <c r="F40" s="68"/>
      <c r="G40" s="68" t="str">
        <f t="shared" si="1"/>
        <v>PENDING</v>
      </c>
      <c r="H40" s="68"/>
      <c r="I40" s="68"/>
      <c r="J40" s="68">
        <v>45752</v>
      </c>
      <c r="K40" s="69">
        <v>27500</v>
      </c>
    </row>
    <row r="41" spans="1:11" ht="18.75" customHeight="1">
      <c r="A41" s="67" t="s">
        <v>204</v>
      </c>
      <c r="B41" s="67" t="s">
        <v>185</v>
      </c>
      <c r="C41" s="67" t="s">
        <v>189</v>
      </c>
      <c r="D41" s="67" t="s">
        <v>209</v>
      </c>
      <c r="E41" s="68">
        <v>45955</v>
      </c>
      <c r="F41" s="68"/>
      <c r="G41" s="68" t="str">
        <f t="shared" si="1"/>
        <v>PENDING</v>
      </c>
      <c r="H41" s="68"/>
      <c r="I41" s="68"/>
      <c r="J41" s="68">
        <v>45752</v>
      </c>
      <c r="K41" s="69">
        <v>27500</v>
      </c>
    </row>
    <row r="42" spans="1:11" ht="18.75" customHeight="1">
      <c r="A42" s="67" t="s">
        <v>204</v>
      </c>
      <c r="B42" s="67" t="s">
        <v>198</v>
      </c>
      <c r="C42" s="67" t="s">
        <v>211</v>
      </c>
      <c r="D42" s="67" t="s">
        <v>187</v>
      </c>
      <c r="E42" s="68">
        <v>45824</v>
      </c>
      <c r="F42" s="68">
        <v>45861</v>
      </c>
      <c r="G42" s="68" t="str">
        <f t="shared" si="1"/>
        <v>WITH ADMIN</v>
      </c>
      <c r="H42" s="68"/>
      <c r="I42" s="68"/>
      <c r="J42" s="68">
        <v>45752</v>
      </c>
      <c r="K42" s="69">
        <v>62500</v>
      </c>
    </row>
    <row r="43" spans="1:11" s="14" customFormat="1" ht="18.75" customHeight="1">
      <c r="A43" s="67" t="s">
        <v>204</v>
      </c>
      <c r="B43" s="67" t="s">
        <v>198</v>
      </c>
      <c r="C43" s="67" t="s">
        <v>186</v>
      </c>
      <c r="D43" s="67" t="s">
        <v>190</v>
      </c>
      <c r="E43" s="68">
        <v>45856</v>
      </c>
      <c r="F43" s="68"/>
      <c r="G43" s="68" t="str">
        <f t="shared" si="1"/>
        <v>PENDING</v>
      </c>
      <c r="H43" s="68"/>
      <c r="I43" s="68"/>
      <c r="J43" s="68">
        <v>45752</v>
      </c>
      <c r="K43" s="69">
        <v>47500</v>
      </c>
    </row>
    <row r="44" spans="1:11" s="14" customFormat="1" ht="18.75" customHeight="1">
      <c r="A44" s="67" t="s">
        <v>204</v>
      </c>
      <c r="B44" s="67" t="s">
        <v>185</v>
      </c>
      <c r="C44" s="67" t="s">
        <v>189</v>
      </c>
      <c r="D44" s="67" t="s">
        <v>187</v>
      </c>
      <c r="E44" s="68"/>
      <c r="F44" s="68"/>
      <c r="G44" s="68" t="str">
        <f t="shared" si="1"/>
        <v>PENDING</v>
      </c>
      <c r="H44" s="68"/>
      <c r="I44" s="68"/>
      <c r="J44" s="68">
        <v>45752</v>
      </c>
      <c r="K44" s="69">
        <v>55000</v>
      </c>
    </row>
    <row r="45" spans="1:11" s="14" customFormat="1" ht="18.75" customHeight="1">
      <c r="A45" s="67" t="s">
        <v>204</v>
      </c>
      <c r="B45" s="67" t="s">
        <v>185</v>
      </c>
      <c r="C45" s="67" t="s">
        <v>186</v>
      </c>
      <c r="D45" s="67" t="s">
        <v>209</v>
      </c>
      <c r="E45" s="68" t="s">
        <v>212</v>
      </c>
      <c r="F45" s="68" t="s">
        <v>212</v>
      </c>
      <c r="G45" s="68" t="str">
        <f t="shared" si="1"/>
        <v>N/A</v>
      </c>
      <c r="H45" s="68"/>
      <c r="I45" s="68" t="s">
        <v>212</v>
      </c>
      <c r="J45" s="68">
        <v>45838</v>
      </c>
      <c r="K45" s="69">
        <v>62500</v>
      </c>
    </row>
    <row r="46" spans="1:11" s="14" customFormat="1" ht="18.75" customHeight="1">
      <c r="A46" s="67" t="s">
        <v>204</v>
      </c>
      <c r="B46" s="67" t="s">
        <v>185</v>
      </c>
      <c r="C46" s="67" t="s">
        <v>186</v>
      </c>
      <c r="D46" s="67" t="s">
        <v>209</v>
      </c>
      <c r="E46" s="68" t="s">
        <v>212</v>
      </c>
      <c r="F46" s="68" t="s">
        <v>212</v>
      </c>
      <c r="G46" s="68" t="str">
        <f t="shared" si="1"/>
        <v>N/A</v>
      </c>
      <c r="H46" s="68"/>
      <c r="I46" s="68" t="s">
        <v>212</v>
      </c>
      <c r="J46" s="68">
        <v>45838</v>
      </c>
      <c r="K46" s="69">
        <v>20000</v>
      </c>
    </row>
    <row r="47" spans="1:11" s="14" customFormat="1" ht="18.75" customHeight="1">
      <c r="A47" s="67" t="s">
        <v>204</v>
      </c>
      <c r="B47" s="67" t="s">
        <v>185</v>
      </c>
      <c r="C47" s="67" t="s">
        <v>186</v>
      </c>
      <c r="D47" s="67" t="s">
        <v>209</v>
      </c>
      <c r="E47" s="68" t="s">
        <v>212</v>
      </c>
      <c r="F47" s="68" t="s">
        <v>212</v>
      </c>
      <c r="G47" s="68" t="str">
        <f t="shared" si="1"/>
        <v>N/A</v>
      </c>
      <c r="H47" s="68"/>
      <c r="I47" s="68" t="s">
        <v>212</v>
      </c>
      <c r="J47" s="68">
        <v>45838</v>
      </c>
      <c r="K47" s="69">
        <v>52500</v>
      </c>
    </row>
    <row r="48" spans="1:11" s="14" customFormat="1" ht="18.75" customHeight="1">
      <c r="A48" s="67" t="s">
        <v>204</v>
      </c>
      <c r="B48" s="67" t="s">
        <v>185</v>
      </c>
      <c r="C48" s="67" t="s">
        <v>186</v>
      </c>
      <c r="D48" s="67" t="s">
        <v>209</v>
      </c>
      <c r="E48" s="68" t="s">
        <v>212</v>
      </c>
      <c r="F48" s="68" t="s">
        <v>212</v>
      </c>
      <c r="G48" s="68" t="str">
        <f t="shared" si="1"/>
        <v>N/A</v>
      </c>
      <c r="H48" s="68"/>
      <c r="I48" s="68" t="s">
        <v>212</v>
      </c>
      <c r="J48" s="68">
        <v>45838</v>
      </c>
      <c r="K48" s="69">
        <v>25000</v>
      </c>
    </row>
    <row r="49" spans="1:11" s="14" customFormat="1" ht="18.75" customHeight="1">
      <c r="A49" s="67" t="s">
        <v>204</v>
      </c>
      <c r="B49" s="67" t="s">
        <v>185</v>
      </c>
      <c r="C49" s="67" t="s">
        <v>186</v>
      </c>
      <c r="D49" s="67" t="s">
        <v>209</v>
      </c>
      <c r="E49" s="68" t="s">
        <v>212</v>
      </c>
      <c r="F49" s="68" t="s">
        <v>212</v>
      </c>
      <c r="G49" s="68" t="str">
        <f t="shared" si="1"/>
        <v>N/A</v>
      </c>
      <c r="H49" s="68"/>
      <c r="I49" s="68" t="s">
        <v>212</v>
      </c>
      <c r="J49" s="68">
        <v>45838</v>
      </c>
      <c r="K49" s="69">
        <v>55000</v>
      </c>
    </row>
    <row r="50" spans="1:11" s="14" customFormat="1" ht="18.75" customHeight="1">
      <c r="A50" s="67" t="s">
        <v>204</v>
      </c>
      <c r="B50" s="67" t="s">
        <v>185</v>
      </c>
      <c r="C50" s="67" t="s">
        <v>186</v>
      </c>
      <c r="D50" s="67" t="s">
        <v>209</v>
      </c>
      <c r="E50" s="68" t="s">
        <v>212</v>
      </c>
      <c r="F50" s="68" t="s">
        <v>212</v>
      </c>
      <c r="G50" s="68" t="str">
        <f t="shared" si="1"/>
        <v>N/A</v>
      </c>
      <c r="H50" s="68"/>
      <c r="I50" s="68" t="s">
        <v>212</v>
      </c>
      <c r="J50" s="68">
        <v>45838</v>
      </c>
      <c r="K50" s="69">
        <v>25000</v>
      </c>
    </row>
    <row r="51" spans="1:11" s="14" customFormat="1" ht="18.75" customHeight="1">
      <c r="A51" s="67" t="s">
        <v>204</v>
      </c>
      <c r="B51" s="67" t="s">
        <v>185</v>
      </c>
      <c r="C51" s="67" t="s">
        <v>186</v>
      </c>
      <c r="D51" s="67" t="s">
        <v>209</v>
      </c>
      <c r="E51" s="68" t="s">
        <v>212</v>
      </c>
      <c r="F51" s="68" t="s">
        <v>212</v>
      </c>
      <c r="G51" s="68" t="str">
        <f t="shared" si="1"/>
        <v>N/A</v>
      </c>
      <c r="H51" s="68"/>
      <c r="I51" s="68" t="s">
        <v>212</v>
      </c>
      <c r="J51" s="68">
        <v>45838</v>
      </c>
      <c r="K51" s="69">
        <v>22500</v>
      </c>
    </row>
    <row r="52" spans="1:11" s="14" customFormat="1" ht="18.75" customHeight="1">
      <c r="A52" s="67" t="s">
        <v>204</v>
      </c>
      <c r="B52" s="67" t="s">
        <v>185</v>
      </c>
      <c r="C52" s="67" t="s">
        <v>189</v>
      </c>
      <c r="D52" s="67" t="s">
        <v>209</v>
      </c>
      <c r="E52" s="68"/>
      <c r="F52" s="68"/>
      <c r="G52" s="68" t="str">
        <f t="shared" si="1"/>
        <v>PENDING</v>
      </c>
      <c r="H52" s="68"/>
      <c r="I52" s="68"/>
      <c r="J52" s="68">
        <v>45961</v>
      </c>
      <c r="K52" s="69">
        <v>32500</v>
      </c>
    </row>
    <row r="53" spans="1:11" s="14" customFormat="1" ht="18.75" customHeight="1">
      <c r="A53" s="67" t="s">
        <v>204</v>
      </c>
      <c r="B53" s="67" t="s">
        <v>185</v>
      </c>
      <c r="C53" s="67" t="s">
        <v>189</v>
      </c>
      <c r="D53" s="67" t="s">
        <v>209</v>
      </c>
      <c r="E53" s="68"/>
      <c r="F53" s="68"/>
      <c r="G53" s="68" t="str">
        <f t="shared" si="1"/>
        <v>PENDING</v>
      </c>
      <c r="H53" s="68"/>
      <c r="I53" s="68"/>
      <c r="J53" s="68">
        <v>45961</v>
      </c>
      <c r="K53" s="69">
        <v>47500</v>
      </c>
    </row>
    <row r="54" spans="1:11" s="14" customFormat="1" ht="18.75" customHeight="1">
      <c r="A54" s="67" t="s">
        <v>204</v>
      </c>
      <c r="B54" s="67" t="s">
        <v>185</v>
      </c>
      <c r="C54" s="67" t="s">
        <v>189</v>
      </c>
      <c r="D54" s="67" t="s">
        <v>209</v>
      </c>
      <c r="E54" s="68"/>
      <c r="F54" s="68"/>
      <c r="G54" s="68" t="str">
        <f t="shared" si="1"/>
        <v>PENDING</v>
      </c>
      <c r="H54" s="68"/>
      <c r="I54" s="68"/>
      <c r="J54" s="68">
        <v>46022</v>
      </c>
      <c r="K54" s="69">
        <v>65000</v>
      </c>
    </row>
    <row r="55" spans="1:11" s="14" customFormat="1" ht="18.75" customHeight="1">
      <c r="A55" s="67" t="s">
        <v>204</v>
      </c>
      <c r="B55" s="67" t="s">
        <v>185</v>
      </c>
      <c r="C55" s="67" t="s">
        <v>186</v>
      </c>
      <c r="D55" s="67" t="s">
        <v>209</v>
      </c>
      <c r="E55" s="68">
        <v>45698</v>
      </c>
      <c r="F55" s="68"/>
      <c r="G55" s="68" t="str">
        <f t="shared" si="1"/>
        <v>PENDING</v>
      </c>
      <c r="H55" s="68"/>
      <c r="I55" s="68"/>
      <c r="J55" s="68">
        <v>46022</v>
      </c>
      <c r="K55" s="69">
        <v>47500</v>
      </c>
    </row>
    <row r="56" spans="1:11" s="14" customFormat="1" ht="18.75" customHeight="1">
      <c r="A56" s="67" t="s">
        <v>204</v>
      </c>
      <c r="B56" s="67" t="s">
        <v>213</v>
      </c>
      <c r="C56" s="67" t="s">
        <v>186</v>
      </c>
      <c r="D56" s="67" t="s">
        <v>209</v>
      </c>
      <c r="E56" s="68">
        <v>45687</v>
      </c>
      <c r="F56" s="68"/>
      <c r="G56" s="68" t="str">
        <f t="shared" si="1"/>
        <v>PENDING</v>
      </c>
      <c r="H56" s="68"/>
      <c r="I56" s="68"/>
      <c r="J56" s="68">
        <v>46022</v>
      </c>
      <c r="K56" s="69">
        <v>37500</v>
      </c>
    </row>
    <row r="57" spans="1:11" s="14" customFormat="1" ht="18.75" customHeight="1">
      <c r="A57" s="67" t="s">
        <v>204</v>
      </c>
      <c r="B57" s="67" t="s">
        <v>214</v>
      </c>
      <c r="C57" s="67" t="s">
        <v>186</v>
      </c>
      <c r="D57" s="67" t="s">
        <v>193</v>
      </c>
      <c r="E57" s="68"/>
      <c r="F57" s="68"/>
      <c r="G57" s="68" t="str">
        <f t="shared" si="1"/>
        <v>PENDING</v>
      </c>
      <c r="H57" s="68"/>
      <c r="I57" s="68"/>
      <c r="J57" s="68">
        <v>46022</v>
      </c>
      <c r="K57" s="69">
        <v>42500</v>
      </c>
    </row>
    <row r="58" spans="1:11" s="14" customFormat="1" ht="18.75" customHeight="1">
      <c r="A58" s="67" t="s">
        <v>204</v>
      </c>
      <c r="B58" s="67" t="s">
        <v>200</v>
      </c>
      <c r="C58" s="67" t="s">
        <v>186</v>
      </c>
      <c r="D58" s="67" t="s">
        <v>193</v>
      </c>
      <c r="E58" s="68"/>
      <c r="F58" s="68"/>
      <c r="G58" s="68" t="str">
        <f t="shared" si="1"/>
        <v>PENDING</v>
      </c>
      <c r="H58" s="68"/>
      <c r="I58" s="68"/>
      <c r="J58" s="68">
        <v>46022</v>
      </c>
      <c r="K58" s="69">
        <v>12500</v>
      </c>
    </row>
    <row r="59" spans="1:11" s="14" customFormat="1" ht="18.75" customHeight="1">
      <c r="A59" s="67" t="s">
        <v>204</v>
      </c>
      <c r="B59" s="67" t="s">
        <v>185</v>
      </c>
      <c r="C59" s="67" t="s">
        <v>186</v>
      </c>
      <c r="D59" s="67" t="s">
        <v>199</v>
      </c>
      <c r="E59" s="68"/>
      <c r="F59" s="68"/>
      <c r="G59" s="68" t="str">
        <f t="shared" si="1"/>
        <v>PENDING</v>
      </c>
      <c r="H59" s="68">
        <v>45812</v>
      </c>
      <c r="I59" s="68"/>
      <c r="J59" s="68">
        <v>45716</v>
      </c>
      <c r="K59" s="69">
        <v>25000</v>
      </c>
    </row>
    <row r="60" spans="1:11" s="14" customFormat="1" ht="18.75" customHeight="1">
      <c r="A60" s="67" t="s">
        <v>204</v>
      </c>
      <c r="B60" s="67" t="s">
        <v>200</v>
      </c>
      <c r="C60" s="67" t="s">
        <v>189</v>
      </c>
      <c r="D60" s="67" t="s">
        <v>193</v>
      </c>
      <c r="E60" s="68">
        <v>45787</v>
      </c>
      <c r="F60" s="68">
        <v>45738</v>
      </c>
      <c r="G60" s="68" t="str">
        <f t="shared" si="1"/>
        <v>WITH ADMIN</v>
      </c>
      <c r="H60" s="68"/>
      <c r="I60" s="68"/>
      <c r="J60" s="68">
        <v>46022</v>
      </c>
      <c r="K60" s="69">
        <v>17500</v>
      </c>
    </row>
    <row r="61" spans="1:11" s="14" customFormat="1" ht="18.75" customHeight="1">
      <c r="A61" s="67" t="s">
        <v>204</v>
      </c>
      <c r="B61" s="67" t="s">
        <v>200</v>
      </c>
      <c r="C61" s="67" t="s">
        <v>189</v>
      </c>
      <c r="D61" s="67" t="s">
        <v>193</v>
      </c>
      <c r="E61" s="68">
        <v>45696</v>
      </c>
      <c r="F61" s="68">
        <v>45846</v>
      </c>
      <c r="G61" s="68" t="str">
        <f t="shared" si="1"/>
        <v>WITH ADMIN</v>
      </c>
      <c r="H61" s="68"/>
      <c r="I61" s="68"/>
      <c r="J61" s="68">
        <v>46022</v>
      </c>
      <c r="K61" s="69">
        <v>45000</v>
      </c>
    </row>
    <row r="62" spans="1:11" s="14" customFormat="1" ht="18.75" customHeight="1">
      <c r="A62" s="67" t="s">
        <v>204</v>
      </c>
      <c r="B62" s="67" t="s">
        <v>200</v>
      </c>
      <c r="C62" s="67" t="s">
        <v>189</v>
      </c>
      <c r="D62" s="67" t="s">
        <v>193</v>
      </c>
      <c r="E62" s="68">
        <v>45732</v>
      </c>
      <c r="F62" s="68"/>
      <c r="G62" s="68" t="str">
        <f t="shared" si="1"/>
        <v>PENDING</v>
      </c>
      <c r="H62" s="68"/>
      <c r="I62" s="68"/>
      <c r="J62" s="68">
        <v>46022</v>
      </c>
      <c r="K62" s="69">
        <v>32500</v>
      </c>
    </row>
    <row r="63" spans="1:11" s="14" customFormat="1" ht="18.75" customHeight="1">
      <c r="A63" s="67" t="s">
        <v>204</v>
      </c>
      <c r="B63" s="67" t="s">
        <v>200</v>
      </c>
      <c r="C63" s="67" t="s">
        <v>186</v>
      </c>
      <c r="D63" s="67" t="s">
        <v>209</v>
      </c>
      <c r="E63" s="68" t="s">
        <v>212</v>
      </c>
      <c r="F63" s="68" t="s">
        <v>212</v>
      </c>
      <c r="G63" s="68" t="str">
        <f t="shared" si="1"/>
        <v>N/A</v>
      </c>
      <c r="H63" s="68"/>
      <c r="I63" s="68"/>
      <c r="J63" s="68">
        <v>45838</v>
      </c>
      <c r="K63" s="69">
        <v>32500</v>
      </c>
    </row>
    <row r="64" spans="1:11" s="14" customFormat="1" ht="18.75" customHeight="1">
      <c r="A64" s="67" t="s">
        <v>204</v>
      </c>
      <c r="B64" s="67" t="s">
        <v>200</v>
      </c>
      <c r="C64" s="67" t="s">
        <v>186</v>
      </c>
      <c r="D64" s="67" t="s">
        <v>209</v>
      </c>
      <c r="E64" s="68"/>
      <c r="F64" s="68"/>
      <c r="G64" s="68" t="str">
        <f t="shared" si="1"/>
        <v>PENDING</v>
      </c>
      <c r="H64" s="68"/>
      <c r="I64" s="68" t="s">
        <v>212</v>
      </c>
      <c r="J64" s="68">
        <v>45900</v>
      </c>
      <c r="K64" s="69">
        <v>25000</v>
      </c>
    </row>
    <row r="65" spans="1:11" s="14" customFormat="1" ht="18.75" customHeight="1">
      <c r="A65" s="67" t="s">
        <v>204</v>
      </c>
      <c r="B65" s="67" t="s">
        <v>185</v>
      </c>
      <c r="C65" s="67" t="s">
        <v>186</v>
      </c>
      <c r="D65" s="67" t="s">
        <v>215</v>
      </c>
      <c r="E65" s="68"/>
      <c r="F65" s="68"/>
      <c r="G65" s="68" t="str">
        <f t="shared" si="1"/>
        <v>PENDING</v>
      </c>
      <c r="H65" s="68"/>
      <c r="I65" s="68"/>
      <c r="J65" s="68">
        <v>45777</v>
      </c>
      <c r="K65" s="69">
        <v>52500</v>
      </c>
    </row>
    <row r="66" spans="1:11" s="14" customFormat="1" ht="18.75" customHeight="1">
      <c r="A66" s="67" t="s">
        <v>204</v>
      </c>
      <c r="B66" s="67" t="s">
        <v>200</v>
      </c>
      <c r="C66" s="67" t="s">
        <v>189</v>
      </c>
      <c r="D66" s="67" t="s">
        <v>187</v>
      </c>
      <c r="E66" s="68"/>
      <c r="F66" s="68"/>
      <c r="G66" s="68" t="str">
        <f t="shared" ref="G66:G97" si="2">IF(F66="n/a","N/A",IF(AND(F66&gt;0,H66=""),"WITH ADMIN","PENDING"))</f>
        <v>PENDING</v>
      </c>
      <c r="H66" s="68"/>
      <c r="I66" s="68"/>
      <c r="J66" s="68">
        <v>45752</v>
      </c>
      <c r="K66" s="69">
        <v>30000</v>
      </c>
    </row>
    <row r="67" spans="1:11" s="14" customFormat="1" ht="18.75" customHeight="1">
      <c r="A67" s="67" t="s">
        <v>204</v>
      </c>
      <c r="B67" s="67" t="s">
        <v>214</v>
      </c>
      <c r="C67" s="67" t="s">
        <v>186</v>
      </c>
      <c r="D67" s="67" t="s">
        <v>209</v>
      </c>
      <c r="E67" s="68"/>
      <c r="F67" s="68"/>
      <c r="G67" s="68" t="str">
        <f t="shared" si="2"/>
        <v>PENDING</v>
      </c>
      <c r="H67" s="68"/>
      <c r="I67" s="68"/>
      <c r="J67" s="68">
        <v>46022</v>
      </c>
      <c r="K67" s="69">
        <v>55000</v>
      </c>
    </row>
    <row r="68" spans="1:11" s="14" customFormat="1" ht="18.75" customHeight="1">
      <c r="A68" s="67" t="s">
        <v>204</v>
      </c>
      <c r="B68" s="67" t="s">
        <v>198</v>
      </c>
      <c r="C68" s="67" t="s">
        <v>186</v>
      </c>
      <c r="D68" s="67" t="s">
        <v>193</v>
      </c>
      <c r="E68" s="68" t="s">
        <v>212</v>
      </c>
      <c r="F68" s="68" t="s">
        <v>212</v>
      </c>
      <c r="G68" s="68" t="str">
        <f t="shared" si="2"/>
        <v>N/A</v>
      </c>
      <c r="H68" s="68"/>
      <c r="I68" s="68"/>
      <c r="J68" s="68">
        <v>45838</v>
      </c>
      <c r="K68" s="69">
        <v>17500</v>
      </c>
    </row>
    <row r="69" spans="1:11" ht="18.75" customHeight="1">
      <c r="A69" s="67" t="s">
        <v>204</v>
      </c>
      <c r="B69" s="67" t="s">
        <v>214</v>
      </c>
      <c r="C69" s="67" t="s">
        <v>186</v>
      </c>
      <c r="D69" s="67" t="s">
        <v>193</v>
      </c>
      <c r="E69" s="68" t="s">
        <v>212</v>
      </c>
      <c r="F69" s="68" t="s">
        <v>212</v>
      </c>
      <c r="G69" s="68" t="str">
        <f t="shared" si="2"/>
        <v>N/A</v>
      </c>
      <c r="H69" s="68"/>
      <c r="I69" s="68" t="s">
        <v>212</v>
      </c>
      <c r="J69" s="68">
        <v>45838</v>
      </c>
      <c r="K69" s="69">
        <v>22500</v>
      </c>
    </row>
    <row r="70" spans="1:11" ht="18.75" customHeight="1">
      <c r="A70" s="67" t="s">
        <v>204</v>
      </c>
      <c r="B70" s="67" t="s">
        <v>200</v>
      </c>
      <c r="C70" s="67" t="s">
        <v>186</v>
      </c>
      <c r="D70" s="67" t="s">
        <v>193</v>
      </c>
      <c r="E70" s="68" t="s">
        <v>212</v>
      </c>
      <c r="F70" s="68" t="s">
        <v>212</v>
      </c>
      <c r="G70" s="68" t="str">
        <f t="shared" si="2"/>
        <v>N/A</v>
      </c>
      <c r="H70" s="68"/>
      <c r="I70" s="68" t="s">
        <v>212</v>
      </c>
      <c r="J70" s="68">
        <v>45838</v>
      </c>
      <c r="K70" s="69">
        <v>15000</v>
      </c>
    </row>
    <row r="71" spans="1:11" ht="18.75" customHeight="1">
      <c r="A71" s="67" t="s">
        <v>204</v>
      </c>
      <c r="B71" s="67" t="s">
        <v>185</v>
      </c>
      <c r="C71" s="67" t="s">
        <v>186</v>
      </c>
      <c r="D71" s="67" t="s">
        <v>193</v>
      </c>
      <c r="E71" s="68" t="s">
        <v>212</v>
      </c>
      <c r="F71" s="68" t="s">
        <v>212</v>
      </c>
      <c r="G71" s="68" t="str">
        <f t="shared" si="2"/>
        <v>N/A</v>
      </c>
      <c r="H71" s="68"/>
      <c r="I71" s="68" t="s">
        <v>212</v>
      </c>
      <c r="J71" s="68">
        <v>45838</v>
      </c>
      <c r="K71" s="69">
        <v>42500</v>
      </c>
    </row>
    <row r="72" spans="1:11" ht="18.75" customHeight="1">
      <c r="A72" s="67" t="s">
        <v>204</v>
      </c>
      <c r="B72" s="67" t="s">
        <v>185</v>
      </c>
      <c r="C72" s="67" t="s">
        <v>186</v>
      </c>
      <c r="D72" s="67" t="s">
        <v>193</v>
      </c>
      <c r="E72" s="68" t="s">
        <v>212</v>
      </c>
      <c r="F72" s="68" t="s">
        <v>212</v>
      </c>
      <c r="G72" s="68" t="str">
        <f t="shared" si="2"/>
        <v>N/A</v>
      </c>
      <c r="H72" s="68"/>
      <c r="I72" s="68" t="s">
        <v>212</v>
      </c>
      <c r="J72" s="68">
        <v>45838</v>
      </c>
      <c r="K72" s="69">
        <v>35000</v>
      </c>
    </row>
    <row r="73" spans="1:11" ht="18.75" customHeight="1">
      <c r="A73" s="67" t="s">
        <v>204</v>
      </c>
      <c r="B73" s="67" t="s">
        <v>188</v>
      </c>
      <c r="C73" s="67" t="s">
        <v>186</v>
      </c>
      <c r="D73" s="67" t="s">
        <v>193</v>
      </c>
      <c r="E73" s="68" t="s">
        <v>212</v>
      </c>
      <c r="F73" s="68" t="s">
        <v>212</v>
      </c>
      <c r="G73" s="68" t="str">
        <f t="shared" si="2"/>
        <v>N/A</v>
      </c>
      <c r="H73" s="68"/>
      <c r="I73" s="68" t="s">
        <v>212</v>
      </c>
      <c r="J73" s="68">
        <v>45838</v>
      </c>
      <c r="K73" s="69">
        <v>47500</v>
      </c>
    </row>
    <row r="74" spans="1:11" s="14" customFormat="1" ht="18.75" customHeight="1">
      <c r="A74" s="67" t="s">
        <v>204</v>
      </c>
      <c r="B74" s="67" t="s">
        <v>188</v>
      </c>
      <c r="C74" s="67" t="s">
        <v>186</v>
      </c>
      <c r="D74" s="67" t="s">
        <v>209</v>
      </c>
      <c r="E74" s="68"/>
      <c r="F74" s="68"/>
      <c r="G74" s="68" t="str">
        <f t="shared" si="2"/>
        <v>PENDING</v>
      </c>
      <c r="H74" s="68"/>
      <c r="I74" s="68" t="s">
        <v>212</v>
      </c>
      <c r="J74" s="68">
        <v>45900</v>
      </c>
      <c r="K74" s="69">
        <v>27500</v>
      </c>
    </row>
    <row r="75" spans="1:11" s="14" customFormat="1" ht="18.75" customHeight="1">
      <c r="A75" s="67" t="s">
        <v>204</v>
      </c>
      <c r="B75" s="67" t="s">
        <v>188</v>
      </c>
      <c r="C75" s="67" t="s">
        <v>186</v>
      </c>
      <c r="D75" s="67" t="s">
        <v>190</v>
      </c>
      <c r="E75" s="68">
        <v>45798</v>
      </c>
      <c r="F75" s="68"/>
      <c r="G75" s="68" t="str">
        <f t="shared" si="2"/>
        <v>PENDING</v>
      </c>
      <c r="H75" s="68"/>
      <c r="I75" s="68"/>
      <c r="J75" s="68">
        <v>46022</v>
      </c>
      <c r="K75" s="69">
        <v>50000</v>
      </c>
    </row>
    <row r="76" spans="1:11" s="14" customFormat="1" ht="18.75" customHeight="1">
      <c r="A76" s="67" t="s">
        <v>204</v>
      </c>
      <c r="B76" s="67" t="s">
        <v>216</v>
      </c>
      <c r="C76" s="67" t="s">
        <v>186</v>
      </c>
      <c r="D76" s="67" t="s">
        <v>193</v>
      </c>
      <c r="E76" s="68"/>
      <c r="F76" s="68"/>
      <c r="G76" s="68" t="str">
        <f t="shared" si="2"/>
        <v>PENDING</v>
      </c>
      <c r="H76" s="68"/>
      <c r="I76" s="68"/>
      <c r="J76" s="68">
        <v>45752</v>
      </c>
      <c r="K76" s="69">
        <v>47500</v>
      </c>
    </row>
    <row r="77" spans="1:11" s="14" customFormat="1" ht="18.600000000000001" customHeight="1">
      <c r="A77" s="67" t="s">
        <v>204</v>
      </c>
      <c r="B77" s="67" t="s">
        <v>216</v>
      </c>
      <c r="C77" s="67" t="s">
        <v>186</v>
      </c>
      <c r="D77" s="67" t="s">
        <v>193</v>
      </c>
      <c r="E77" s="68"/>
      <c r="F77" s="68"/>
      <c r="G77" s="68" t="str">
        <f t="shared" si="2"/>
        <v>PENDING</v>
      </c>
      <c r="H77" s="68"/>
      <c r="I77" s="68"/>
      <c r="J77" s="68">
        <v>45752</v>
      </c>
      <c r="K77" s="69">
        <v>35000</v>
      </c>
    </row>
    <row r="78" spans="1:11" s="14" customFormat="1" ht="18.75" customHeight="1">
      <c r="A78" s="67" t="s">
        <v>204</v>
      </c>
      <c r="B78" s="67" t="s">
        <v>216</v>
      </c>
      <c r="C78" s="67" t="s">
        <v>189</v>
      </c>
      <c r="D78" s="67" t="s">
        <v>190</v>
      </c>
      <c r="E78" s="68">
        <v>45798</v>
      </c>
      <c r="F78" s="68">
        <v>45835</v>
      </c>
      <c r="G78" s="68" t="str">
        <f t="shared" si="2"/>
        <v>PENDING</v>
      </c>
      <c r="H78" s="68">
        <v>45812</v>
      </c>
      <c r="I78" s="68"/>
      <c r="J78" s="68">
        <v>45716</v>
      </c>
      <c r="K78" s="69">
        <v>55000</v>
      </c>
    </row>
    <row r="79" spans="1:11" ht="18.75" customHeight="1">
      <c r="A79" s="67" t="s">
        <v>204</v>
      </c>
      <c r="B79" s="67" t="s">
        <v>185</v>
      </c>
      <c r="C79" s="67" t="s">
        <v>189</v>
      </c>
      <c r="D79" s="67" t="s">
        <v>187</v>
      </c>
      <c r="E79" s="68">
        <v>45793</v>
      </c>
      <c r="F79" s="68"/>
      <c r="G79" s="68" t="str">
        <f t="shared" si="2"/>
        <v>PENDING</v>
      </c>
      <c r="H79" s="68"/>
      <c r="I79" s="68"/>
      <c r="J79" s="68">
        <v>45752</v>
      </c>
      <c r="K79" s="69">
        <v>40000</v>
      </c>
    </row>
    <row r="80" spans="1:11" ht="18.75" customHeight="1">
      <c r="A80" s="67" t="s">
        <v>204</v>
      </c>
      <c r="B80" s="67" t="s">
        <v>200</v>
      </c>
      <c r="C80" s="67" t="s">
        <v>189</v>
      </c>
      <c r="D80" s="67" t="s">
        <v>209</v>
      </c>
      <c r="E80" s="68">
        <v>45885</v>
      </c>
      <c r="F80" s="68"/>
      <c r="G80" s="68" t="str">
        <f t="shared" si="2"/>
        <v>PENDING</v>
      </c>
      <c r="H80" s="68"/>
      <c r="I80" s="68"/>
      <c r="J80" s="68">
        <v>45752</v>
      </c>
      <c r="K80" s="69">
        <v>30000</v>
      </c>
    </row>
    <row r="81" spans="1:11" s="14" customFormat="1" ht="18.75" customHeight="1">
      <c r="A81" s="67" t="s">
        <v>204</v>
      </c>
      <c r="B81" s="67" t="s">
        <v>217</v>
      </c>
      <c r="C81" s="67" t="s">
        <v>189</v>
      </c>
      <c r="D81" s="67" t="s">
        <v>193</v>
      </c>
      <c r="E81" s="68">
        <v>45799</v>
      </c>
      <c r="F81" s="68"/>
      <c r="G81" s="68" t="str">
        <f t="shared" si="2"/>
        <v>PENDING</v>
      </c>
      <c r="H81" s="68"/>
      <c r="I81" s="68"/>
      <c r="J81" s="68">
        <v>45747</v>
      </c>
      <c r="K81" s="69">
        <v>20000</v>
      </c>
    </row>
    <row r="82" spans="1:11" s="14" customFormat="1" ht="18.75" customHeight="1">
      <c r="A82" s="67" t="s">
        <v>204</v>
      </c>
      <c r="B82" s="67" t="s">
        <v>207</v>
      </c>
      <c r="C82" s="67" t="s">
        <v>189</v>
      </c>
      <c r="D82" s="67" t="s">
        <v>187</v>
      </c>
      <c r="E82" s="68">
        <v>45878</v>
      </c>
      <c r="F82" s="68"/>
      <c r="G82" s="68" t="str">
        <f t="shared" si="2"/>
        <v>PENDING</v>
      </c>
      <c r="H82" s="68"/>
      <c r="I82" s="68"/>
      <c r="J82" s="68">
        <v>45752</v>
      </c>
      <c r="K82" s="69">
        <v>25000</v>
      </c>
    </row>
    <row r="83" spans="1:11" s="14" customFormat="1" ht="18.75" customHeight="1">
      <c r="A83" s="67" t="s">
        <v>204</v>
      </c>
      <c r="B83" s="67" t="s">
        <v>207</v>
      </c>
      <c r="C83" s="67" t="s">
        <v>186</v>
      </c>
      <c r="D83" s="67" t="s">
        <v>209</v>
      </c>
      <c r="E83" s="68"/>
      <c r="F83" s="68"/>
      <c r="G83" s="68" t="str">
        <f t="shared" si="2"/>
        <v>PENDING</v>
      </c>
      <c r="H83" s="68">
        <v>45812</v>
      </c>
      <c r="I83" s="68"/>
      <c r="J83" s="68">
        <v>45716</v>
      </c>
      <c r="K83" s="69">
        <v>25000</v>
      </c>
    </row>
    <row r="84" spans="1:11" s="14" customFormat="1" ht="18.75" customHeight="1">
      <c r="A84" s="67" t="s">
        <v>204</v>
      </c>
      <c r="B84" s="67" t="s">
        <v>185</v>
      </c>
      <c r="C84" s="67" t="s">
        <v>189</v>
      </c>
      <c r="D84" s="67" t="s">
        <v>193</v>
      </c>
      <c r="E84" s="68"/>
      <c r="F84" s="68"/>
      <c r="G84" s="68" t="str">
        <f t="shared" si="2"/>
        <v>PENDING</v>
      </c>
      <c r="H84" s="68"/>
      <c r="I84" s="68"/>
      <c r="J84" s="68">
        <v>45747</v>
      </c>
      <c r="K84" s="69">
        <v>27500</v>
      </c>
    </row>
    <row r="85" spans="1:11" s="14" customFormat="1" ht="18.75" customHeight="1">
      <c r="A85" s="67" t="s">
        <v>204</v>
      </c>
      <c r="B85" s="67" t="s">
        <v>185</v>
      </c>
      <c r="C85" s="67" t="s">
        <v>189</v>
      </c>
      <c r="D85" s="67" t="s">
        <v>187</v>
      </c>
      <c r="E85" s="68">
        <v>45793</v>
      </c>
      <c r="F85" s="68">
        <v>45836</v>
      </c>
      <c r="G85" s="68" t="str">
        <f t="shared" si="2"/>
        <v>WITH ADMIN</v>
      </c>
      <c r="H85" s="68"/>
      <c r="I85" s="68"/>
      <c r="J85" s="68">
        <v>45752</v>
      </c>
      <c r="K85" s="69">
        <v>55000</v>
      </c>
    </row>
    <row r="86" spans="1:11" s="14" customFormat="1" ht="18.75" customHeight="1">
      <c r="A86" s="67" t="s">
        <v>204</v>
      </c>
      <c r="B86" s="67" t="s">
        <v>185</v>
      </c>
      <c r="C86" s="67" t="s">
        <v>189</v>
      </c>
      <c r="D86" s="67" t="s">
        <v>218</v>
      </c>
      <c r="E86" s="68">
        <v>45712</v>
      </c>
      <c r="F86" s="68">
        <v>45833</v>
      </c>
      <c r="G86" s="68" t="str">
        <f t="shared" si="2"/>
        <v>WITH ADMIN</v>
      </c>
      <c r="H86" s="68"/>
      <c r="I86" s="68"/>
      <c r="J86" s="68">
        <v>46022</v>
      </c>
      <c r="K86" s="69">
        <v>60000</v>
      </c>
    </row>
    <row r="87" spans="1:11" s="14" customFormat="1" ht="18.75" customHeight="1">
      <c r="A87" s="67" t="s">
        <v>204</v>
      </c>
      <c r="B87" s="67" t="s">
        <v>185</v>
      </c>
      <c r="C87" s="67" t="s">
        <v>211</v>
      </c>
      <c r="D87" s="67" t="s">
        <v>193</v>
      </c>
      <c r="E87" s="68"/>
      <c r="F87" s="68"/>
      <c r="G87" s="68" t="str">
        <f t="shared" si="2"/>
        <v>PENDING</v>
      </c>
      <c r="H87" s="68"/>
      <c r="I87" s="68"/>
      <c r="J87" s="68">
        <v>46022</v>
      </c>
      <c r="K87" s="69">
        <v>32500</v>
      </c>
    </row>
    <row r="88" spans="1:11" s="14" customFormat="1" ht="18.75" customHeight="1">
      <c r="A88" s="67" t="s">
        <v>204</v>
      </c>
      <c r="B88" s="67" t="s">
        <v>185</v>
      </c>
      <c r="C88" s="67" t="s">
        <v>189</v>
      </c>
      <c r="D88" s="67" t="s">
        <v>209</v>
      </c>
      <c r="E88" s="68">
        <v>45801</v>
      </c>
      <c r="F88" s="68"/>
      <c r="G88" s="68" t="str">
        <f t="shared" si="2"/>
        <v>PENDING</v>
      </c>
      <c r="H88" s="68"/>
      <c r="I88" s="68"/>
      <c r="J88" s="68">
        <v>46022</v>
      </c>
      <c r="K88" s="69">
        <v>50000</v>
      </c>
    </row>
    <row r="89" spans="1:11" s="14" customFormat="1" ht="18.75" customHeight="1">
      <c r="A89" s="67" t="s">
        <v>204</v>
      </c>
      <c r="B89" s="67" t="s">
        <v>219</v>
      </c>
      <c r="C89" s="67" t="s">
        <v>189</v>
      </c>
      <c r="D89" s="67" t="s">
        <v>209</v>
      </c>
      <c r="E89" s="68">
        <v>45801</v>
      </c>
      <c r="F89" s="68"/>
      <c r="G89" s="68" t="str">
        <f t="shared" si="2"/>
        <v>PENDING</v>
      </c>
      <c r="H89" s="68"/>
      <c r="I89" s="68"/>
      <c r="J89" s="68">
        <v>46022</v>
      </c>
      <c r="K89" s="69">
        <v>50000</v>
      </c>
    </row>
    <row r="90" spans="1:11" s="14" customFormat="1" ht="18.75" customHeight="1">
      <c r="A90" s="67" t="s">
        <v>204</v>
      </c>
      <c r="B90" s="67" t="s">
        <v>219</v>
      </c>
      <c r="C90" s="67" t="s">
        <v>189</v>
      </c>
      <c r="D90" s="67" t="s">
        <v>209</v>
      </c>
      <c r="E90" s="68">
        <v>45801</v>
      </c>
      <c r="F90" s="68"/>
      <c r="G90" s="68" t="str">
        <f t="shared" si="2"/>
        <v>PENDING</v>
      </c>
      <c r="H90" s="68"/>
      <c r="I90" s="68"/>
      <c r="J90" s="68">
        <v>46022</v>
      </c>
      <c r="K90" s="69">
        <v>32500</v>
      </c>
    </row>
    <row r="91" spans="1:11" ht="18.75" customHeight="1">
      <c r="A91" s="67" t="s">
        <v>204</v>
      </c>
      <c r="B91" s="67" t="s">
        <v>219</v>
      </c>
      <c r="C91" s="67" t="s">
        <v>211</v>
      </c>
      <c r="D91" s="67" t="s">
        <v>190</v>
      </c>
      <c r="E91" s="68"/>
      <c r="F91" s="68"/>
      <c r="G91" s="68" t="str">
        <f t="shared" si="2"/>
        <v>PENDING</v>
      </c>
      <c r="H91" s="68"/>
      <c r="I91" s="68"/>
      <c r="J91" s="68">
        <v>45838</v>
      </c>
      <c r="K91" s="69">
        <v>47500</v>
      </c>
    </row>
    <row r="92" spans="1:11" s="14" customFormat="1" ht="18.75" customHeight="1">
      <c r="A92" s="67" t="s">
        <v>204</v>
      </c>
      <c r="B92" s="67" t="s">
        <v>220</v>
      </c>
      <c r="C92" s="67" t="s">
        <v>186</v>
      </c>
      <c r="D92" s="67" t="s">
        <v>199</v>
      </c>
      <c r="E92" s="68"/>
      <c r="F92" s="68"/>
      <c r="G92" s="68" t="str">
        <f t="shared" si="2"/>
        <v>PENDING</v>
      </c>
      <c r="H92" s="68"/>
      <c r="I92" s="68"/>
      <c r="J92" s="68">
        <v>45752</v>
      </c>
      <c r="K92" s="69">
        <v>32500</v>
      </c>
    </row>
    <row r="93" spans="1:11" s="14" customFormat="1" ht="18.75" customHeight="1">
      <c r="A93" s="67" t="s">
        <v>204</v>
      </c>
      <c r="B93" s="67" t="s">
        <v>220</v>
      </c>
      <c r="C93" s="67" t="s">
        <v>189</v>
      </c>
      <c r="D93" s="67" t="s">
        <v>190</v>
      </c>
      <c r="E93" s="68"/>
      <c r="F93" s="68"/>
      <c r="G93" s="68" t="str">
        <f t="shared" si="2"/>
        <v>PENDING</v>
      </c>
      <c r="H93" s="68"/>
      <c r="I93" s="68"/>
      <c r="J93" s="68">
        <v>46022</v>
      </c>
      <c r="K93" s="69">
        <v>30000</v>
      </c>
    </row>
    <row r="94" spans="1:11" s="14" customFormat="1" ht="18.75" customHeight="1">
      <c r="A94" s="67" t="s">
        <v>204</v>
      </c>
      <c r="B94" s="67" t="s">
        <v>220</v>
      </c>
      <c r="C94" s="67" t="s">
        <v>211</v>
      </c>
      <c r="D94" s="67" t="s">
        <v>209</v>
      </c>
      <c r="E94" s="68" t="s">
        <v>212</v>
      </c>
      <c r="F94" s="68" t="s">
        <v>212</v>
      </c>
      <c r="G94" s="68" t="str">
        <f t="shared" si="2"/>
        <v>N/A</v>
      </c>
      <c r="H94" s="68"/>
      <c r="I94" s="68" t="s">
        <v>212</v>
      </c>
      <c r="J94" s="68">
        <v>45838</v>
      </c>
      <c r="K94" s="69">
        <v>55000</v>
      </c>
    </row>
    <row r="95" spans="1:11" s="14" customFormat="1" ht="18.75" customHeight="1">
      <c r="A95" s="67" t="s">
        <v>204</v>
      </c>
      <c r="B95" s="67" t="s">
        <v>220</v>
      </c>
      <c r="C95" s="67" t="s">
        <v>189</v>
      </c>
      <c r="D95" s="67" t="s">
        <v>187</v>
      </c>
      <c r="E95" s="68">
        <v>45824</v>
      </c>
      <c r="F95" s="68">
        <v>45861</v>
      </c>
      <c r="G95" s="68" t="str">
        <f t="shared" si="2"/>
        <v>WITH ADMIN</v>
      </c>
      <c r="H95" s="68"/>
      <c r="I95" s="68"/>
      <c r="J95" s="68">
        <v>45752</v>
      </c>
      <c r="K95" s="69">
        <v>52500</v>
      </c>
    </row>
    <row r="96" spans="1:11" s="14" customFormat="1" ht="18.75" customHeight="1">
      <c r="A96" s="67" t="s">
        <v>204</v>
      </c>
      <c r="B96" s="67" t="s">
        <v>221</v>
      </c>
      <c r="C96" s="67" t="s">
        <v>186</v>
      </c>
      <c r="D96" s="67" t="s">
        <v>209</v>
      </c>
      <c r="E96" s="68"/>
      <c r="F96" s="68"/>
      <c r="G96" s="68" t="str">
        <f t="shared" si="2"/>
        <v>PENDING</v>
      </c>
      <c r="H96" s="68"/>
      <c r="I96" s="68"/>
      <c r="J96" s="68">
        <v>46022</v>
      </c>
      <c r="K96" s="69">
        <v>45000</v>
      </c>
    </row>
    <row r="97" spans="1:11" s="14" customFormat="1" ht="18.75" customHeight="1">
      <c r="A97" s="67" t="s">
        <v>204</v>
      </c>
      <c r="B97" s="67" t="s">
        <v>214</v>
      </c>
      <c r="C97" s="67" t="s">
        <v>189</v>
      </c>
      <c r="D97" s="67" t="s">
        <v>199</v>
      </c>
      <c r="E97" s="68">
        <v>45800</v>
      </c>
      <c r="F97" s="68">
        <v>45885</v>
      </c>
      <c r="G97" s="68" t="str">
        <f t="shared" si="2"/>
        <v>WITH ADMIN</v>
      </c>
      <c r="H97" s="68"/>
      <c r="I97" s="68"/>
      <c r="J97" s="68">
        <v>45752</v>
      </c>
      <c r="K97" s="69">
        <v>35000</v>
      </c>
    </row>
    <row r="98" spans="1:11" s="14" customFormat="1" ht="18.75" customHeight="1">
      <c r="A98" s="67" t="s">
        <v>204</v>
      </c>
      <c r="B98" s="67" t="s">
        <v>210</v>
      </c>
      <c r="C98" s="67" t="s">
        <v>189</v>
      </c>
      <c r="D98" s="67" t="s">
        <v>187</v>
      </c>
      <c r="E98" s="68">
        <v>45824</v>
      </c>
      <c r="F98" s="68">
        <v>45842</v>
      </c>
      <c r="G98" s="68" t="str">
        <f t="shared" ref="G98:G110" si="3">IF(F98="n/a","N/A",IF(AND(F98&gt;0,H98=""),"WITH ADMIN","PENDING"))</f>
        <v>WITH ADMIN</v>
      </c>
      <c r="H98" s="68"/>
      <c r="I98" s="68"/>
      <c r="J98" s="68">
        <v>45752</v>
      </c>
      <c r="K98" s="69">
        <v>22500</v>
      </c>
    </row>
    <row r="99" spans="1:11" s="14" customFormat="1" ht="18.75" customHeight="1">
      <c r="A99" s="67" t="s">
        <v>204</v>
      </c>
      <c r="B99" s="67" t="s">
        <v>200</v>
      </c>
      <c r="C99" s="67" t="s">
        <v>186</v>
      </c>
      <c r="D99" s="67" t="s">
        <v>209</v>
      </c>
      <c r="E99" s="68"/>
      <c r="F99" s="68"/>
      <c r="G99" s="68" t="str">
        <f t="shared" si="3"/>
        <v>PENDING</v>
      </c>
      <c r="H99" s="68"/>
      <c r="I99" s="68"/>
      <c r="J99" s="68">
        <v>46022</v>
      </c>
      <c r="K99" s="69">
        <v>20000</v>
      </c>
    </row>
    <row r="100" spans="1:11" s="14" customFormat="1" ht="18.75" customHeight="1">
      <c r="A100" s="67" t="s">
        <v>204</v>
      </c>
      <c r="B100" s="67" t="s">
        <v>222</v>
      </c>
      <c r="C100" s="67" t="s">
        <v>186</v>
      </c>
      <c r="D100" s="67" t="s">
        <v>209</v>
      </c>
      <c r="E100" s="68"/>
      <c r="F100" s="68"/>
      <c r="G100" s="68" t="str">
        <f t="shared" si="3"/>
        <v>PENDING</v>
      </c>
      <c r="H100" s="68"/>
      <c r="I100" s="68"/>
      <c r="J100" s="68">
        <v>45838</v>
      </c>
      <c r="K100" s="69">
        <v>40000</v>
      </c>
    </row>
    <row r="101" spans="1:11" s="14" customFormat="1" ht="18.75" customHeight="1">
      <c r="A101" s="67" t="s">
        <v>204</v>
      </c>
      <c r="B101" s="67" t="s">
        <v>223</v>
      </c>
      <c r="C101" s="67" t="s">
        <v>186</v>
      </c>
      <c r="D101" s="67" t="s">
        <v>190</v>
      </c>
      <c r="E101" s="68"/>
      <c r="F101" s="68"/>
      <c r="G101" s="68" t="str">
        <f t="shared" si="3"/>
        <v>PENDING</v>
      </c>
      <c r="H101" s="68"/>
      <c r="I101" s="68"/>
      <c r="J101" s="68">
        <v>45747</v>
      </c>
      <c r="K101" s="69">
        <v>37500</v>
      </c>
    </row>
    <row r="102" spans="1:11" s="14" customFormat="1" ht="18.75" customHeight="1">
      <c r="A102" s="67" t="s">
        <v>204</v>
      </c>
      <c r="B102" s="67" t="s">
        <v>185</v>
      </c>
      <c r="C102" s="67" t="s">
        <v>186</v>
      </c>
      <c r="D102" s="67" t="s">
        <v>209</v>
      </c>
      <c r="E102" s="68" t="s">
        <v>212</v>
      </c>
      <c r="F102" s="68" t="s">
        <v>212</v>
      </c>
      <c r="G102" s="68" t="str">
        <f t="shared" si="3"/>
        <v>N/A</v>
      </c>
      <c r="H102" s="68">
        <v>45812</v>
      </c>
      <c r="I102" s="68" t="s">
        <v>212</v>
      </c>
      <c r="J102" s="68">
        <v>45716</v>
      </c>
      <c r="K102" s="69">
        <v>32500</v>
      </c>
    </row>
    <row r="103" spans="1:11" s="14" customFormat="1" ht="18.75" customHeight="1">
      <c r="A103" s="67" t="s">
        <v>204</v>
      </c>
      <c r="B103" s="67" t="s">
        <v>185</v>
      </c>
      <c r="C103" s="67" t="s">
        <v>189</v>
      </c>
      <c r="D103" s="67" t="s">
        <v>209</v>
      </c>
      <c r="E103" s="68" t="s">
        <v>212</v>
      </c>
      <c r="F103" s="68" t="s">
        <v>212</v>
      </c>
      <c r="G103" s="68" t="str">
        <f t="shared" si="3"/>
        <v>N/A</v>
      </c>
      <c r="H103" s="68">
        <v>45812</v>
      </c>
      <c r="I103" s="68" t="s">
        <v>212</v>
      </c>
      <c r="J103" s="68">
        <v>45716</v>
      </c>
      <c r="K103" s="69">
        <v>57500</v>
      </c>
    </row>
    <row r="104" spans="1:11" s="14" customFormat="1" ht="18.75" customHeight="1">
      <c r="A104" s="67" t="s">
        <v>204</v>
      </c>
      <c r="B104" s="67" t="s">
        <v>185</v>
      </c>
      <c r="C104" s="67" t="s">
        <v>189</v>
      </c>
      <c r="D104" s="67" t="s">
        <v>209</v>
      </c>
      <c r="E104" s="68" t="s">
        <v>212</v>
      </c>
      <c r="F104" s="68" t="s">
        <v>212</v>
      </c>
      <c r="G104" s="68" t="str">
        <f t="shared" si="3"/>
        <v>N/A</v>
      </c>
      <c r="H104" s="68"/>
      <c r="I104" s="68"/>
      <c r="J104" s="68">
        <v>45838</v>
      </c>
      <c r="K104" s="69">
        <v>52500</v>
      </c>
    </row>
    <row r="105" spans="1:11" s="14" customFormat="1" ht="18.75" customHeight="1">
      <c r="A105" s="67" t="s">
        <v>204</v>
      </c>
      <c r="B105" s="67" t="s">
        <v>185</v>
      </c>
      <c r="C105" s="67" t="s">
        <v>189</v>
      </c>
      <c r="D105" s="67" t="s">
        <v>209</v>
      </c>
      <c r="E105" s="68" t="s">
        <v>212</v>
      </c>
      <c r="F105" s="68" t="s">
        <v>212</v>
      </c>
      <c r="G105" s="68" t="str">
        <f t="shared" si="3"/>
        <v>N/A</v>
      </c>
      <c r="H105" s="68"/>
      <c r="I105" s="68"/>
      <c r="J105" s="68">
        <v>45838</v>
      </c>
      <c r="K105" s="69">
        <v>10000</v>
      </c>
    </row>
    <row r="106" spans="1:11" ht="18.75" customHeight="1">
      <c r="A106" s="67" t="s">
        <v>204</v>
      </c>
      <c r="B106" s="67" t="s">
        <v>185</v>
      </c>
      <c r="C106" s="67" t="s">
        <v>195</v>
      </c>
      <c r="D106" s="67" t="s">
        <v>209</v>
      </c>
      <c r="E106" s="68" t="s">
        <v>212</v>
      </c>
      <c r="F106" s="68" t="s">
        <v>212</v>
      </c>
      <c r="G106" s="68" t="str">
        <f t="shared" si="3"/>
        <v>N/A</v>
      </c>
      <c r="H106" s="68"/>
      <c r="I106" s="68" t="s">
        <v>212</v>
      </c>
      <c r="J106" s="68">
        <v>45838</v>
      </c>
      <c r="K106" s="69">
        <v>62500</v>
      </c>
    </row>
    <row r="107" spans="1:11" s="14" customFormat="1" ht="18.75" customHeight="1">
      <c r="A107" s="67" t="s">
        <v>204</v>
      </c>
      <c r="B107" s="67" t="s">
        <v>185</v>
      </c>
      <c r="C107" s="67" t="s">
        <v>186</v>
      </c>
      <c r="D107" s="67" t="s">
        <v>193</v>
      </c>
      <c r="E107" s="68"/>
      <c r="F107" s="68"/>
      <c r="G107" s="68" t="str">
        <f t="shared" si="3"/>
        <v>PENDING</v>
      </c>
      <c r="H107" s="68"/>
      <c r="I107" s="68"/>
      <c r="J107" s="68">
        <v>45838</v>
      </c>
      <c r="K107" s="69">
        <v>12500</v>
      </c>
    </row>
    <row r="108" spans="1:11" s="14" customFormat="1" ht="18.75" customHeight="1">
      <c r="A108" s="67" t="s">
        <v>204</v>
      </c>
      <c r="B108" s="67" t="s">
        <v>185</v>
      </c>
      <c r="C108" s="67" t="s">
        <v>211</v>
      </c>
      <c r="D108" s="67" t="s">
        <v>199</v>
      </c>
      <c r="E108" s="68"/>
      <c r="F108" s="68"/>
      <c r="G108" s="68" t="str">
        <f t="shared" si="3"/>
        <v>PENDING</v>
      </c>
      <c r="H108" s="68"/>
      <c r="I108" s="68"/>
      <c r="J108" s="68">
        <v>46022</v>
      </c>
      <c r="K108" s="69">
        <v>22500</v>
      </c>
    </row>
    <row r="109" spans="1:11" s="14" customFormat="1" ht="18.75" customHeight="1">
      <c r="A109" s="67" t="s">
        <v>204</v>
      </c>
      <c r="B109" s="67" t="s">
        <v>185</v>
      </c>
      <c r="C109" s="67" t="s">
        <v>211</v>
      </c>
      <c r="D109" s="67" t="s">
        <v>193</v>
      </c>
      <c r="E109" s="68"/>
      <c r="F109" s="68"/>
      <c r="G109" s="68" t="str">
        <f t="shared" si="3"/>
        <v>PENDING</v>
      </c>
      <c r="H109" s="68"/>
      <c r="I109" s="68"/>
      <c r="J109" s="68">
        <v>45747</v>
      </c>
      <c r="K109" s="69">
        <v>40000</v>
      </c>
    </row>
    <row r="110" spans="1:11" s="14" customFormat="1" ht="18.75" customHeight="1">
      <c r="A110" s="67" t="s">
        <v>204</v>
      </c>
      <c r="B110" s="67" t="s">
        <v>224</v>
      </c>
      <c r="C110" s="67" t="s">
        <v>211</v>
      </c>
      <c r="D110" s="67" t="s">
        <v>187</v>
      </c>
      <c r="E110" s="68"/>
      <c r="F110" s="68"/>
      <c r="G110" s="68" t="str">
        <f t="shared" si="3"/>
        <v>PENDING</v>
      </c>
      <c r="H110" s="68"/>
      <c r="I110" s="68"/>
      <c r="J110" s="77">
        <v>45900</v>
      </c>
      <c r="K110" s="78">
        <v>25000</v>
      </c>
    </row>
    <row r="111" spans="1:11" ht="18.75" customHeight="1">
      <c r="A111" s="11"/>
      <c r="B111" s="10"/>
      <c r="G111" s="12"/>
      <c r="J111" s="79" t="s">
        <v>225</v>
      </c>
      <c r="K111" s="80">
        <f>SUM(K2:K110)</f>
        <v>4157500</v>
      </c>
    </row>
    <row r="112" spans="1:11" ht="18.75" customHeight="1">
      <c r="A112" s="11"/>
      <c r="B112" s="10"/>
      <c r="G112" s="12"/>
    </row>
    <row r="113" spans="1:7" ht="18.75" customHeight="1">
      <c r="A113" s="11"/>
      <c r="B113" s="10"/>
      <c r="G113" s="12"/>
    </row>
    <row r="114" spans="1:7" ht="18.75" customHeight="1">
      <c r="A114" s="11"/>
      <c r="B114" s="10"/>
      <c r="G114" s="12"/>
    </row>
    <row r="115" spans="1:7" ht="18.75" customHeight="1">
      <c r="A115" s="11"/>
      <c r="B115" s="10"/>
      <c r="G115" s="13"/>
    </row>
    <row r="116" spans="1:7" ht="18.75" customHeight="1">
      <c r="A116" s="11"/>
      <c r="B116" s="10"/>
      <c r="G116" s="12"/>
    </row>
    <row r="117" spans="1:7" ht="18.75" customHeight="1">
      <c r="A117" s="11"/>
      <c r="B117" s="10"/>
    </row>
    <row r="118" spans="1:7" ht="18.75" customHeight="1">
      <c r="A118" s="11"/>
      <c r="B118" s="10"/>
    </row>
    <row r="119" spans="1:7" ht="18.75" customHeight="1">
      <c r="A119" s="11"/>
      <c r="B119" s="10"/>
    </row>
    <row r="120" spans="1:7" ht="18.75" customHeight="1">
      <c r="A120" s="11"/>
      <c r="B120" s="10"/>
    </row>
    <row r="121" spans="1:7" ht="18.75" customHeight="1">
      <c r="A121" s="11"/>
      <c r="B121" s="10"/>
    </row>
    <row r="122" spans="1:7" ht="18.75" customHeight="1">
      <c r="A122" s="11"/>
      <c r="B122" s="10"/>
    </row>
    <row r="123" spans="1:7" ht="18.75" customHeight="1">
      <c r="A123" s="11"/>
      <c r="B123" s="10"/>
    </row>
    <row r="124" spans="1:7" ht="18.75" customHeight="1">
      <c r="A124" s="11"/>
      <c r="B124" s="10"/>
    </row>
    <row r="125" spans="1:7" ht="18.75" customHeight="1">
      <c r="A125" s="11"/>
      <c r="B125" s="10"/>
    </row>
    <row r="126" spans="1:7" ht="18.75" customHeight="1">
      <c r="A126" s="11"/>
      <c r="B126" s="10"/>
    </row>
    <row r="127" spans="1:7" ht="18.75" customHeight="1">
      <c r="A127" s="11"/>
      <c r="B127" s="10"/>
    </row>
    <row r="128" spans="1:7" ht="18.75" customHeight="1">
      <c r="A128" s="11"/>
      <c r="B128" s="10"/>
    </row>
    <row r="129" spans="1:2" ht="18.75" customHeight="1">
      <c r="A129" s="11"/>
      <c r="B129" s="10"/>
    </row>
    <row r="130" spans="1:2" ht="18.75" customHeight="1">
      <c r="A130" s="11"/>
      <c r="B130" s="10"/>
    </row>
    <row r="131" spans="1:2" ht="18.75" customHeight="1">
      <c r="A131" s="11"/>
      <c r="B131" s="10"/>
    </row>
    <row r="132" spans="1:2" ht="18.75" customHeight="1">
      <c r="A132" s="11"/>
      <c r="B132" s="10"/>
    </row>
    <row r="133" spans="1:2" ht="18.75" customHeight="1">
      <c r="A133" s="11"/>
      <c r="B133" s="10"/>
    </row>
    <row r="134" spans="1:2" ht="18.75" customHeight="1">
      <c r="A134" s="11"/>
      <c r="B134" s="10"/>
    </row>
    <row r="135" spans="1:2" ht="18.75" customHeight="1">
      <c r="A135" s="11"/>
      <c r="B135" s="10"/>
    </row>
    <row r="136" spans="1:2" ht="18.75" customHeight="1">
      <c r="A136" s="11"/>
      <c r="B136" s="10"/>
    </row>
    <row r="137" spans="1:2" ht="18.75" customHeight="1">
      <c r="A137" s="11"/>
      <c r="B137" s="10"/>
    </row>
    <row r="138" spans="1:2" ht="18.75" customHeight="1">
      <c r="A138" s="11"/>
      <c r="B138" s="10"/>
    </row>
    <row r="139" spans="1:2" ht="18.75" customHeight="1">
      <c r="A139" s="11"/>
      <c r="B139" s="10"/>
    </row>
    <row r="140" spans="1:2" ht="18.75" customHeight="1">
      <c r="A140" s="11"/>
      <c r="B140" s="10"/>
    </row>
    <row r="141" spans="1:2" ht="18.75" customHeight="1">
      <c r="A141" s="11"/>
      <c r="B141" s="10"/>
    </row>
    <row r="142" spans="1:2" ht="18.75" customHeight="1">
      <c r="A142" s="11"/>
      <c r="B142" s="10"/>
    </row>
    <row r="143" spans="1:2" ht="18.75" customHeight="1">
      <c r="A143" s="11"/>
      <c r="B143" s="10"/>
    </row>
    <row r="144" spans="1:2" ht="18.75" customHeight="1">
      <c r="A144" s="11"/>
      <c r="B144" s="10"/>
    </row>
    <row r="145" spans="1:2" ht="18.75" customHeight="1">
      <c r="A145" s="11"/>
      <c r="B145" s="10"/>
    </row>
    <row r="146" spans="1:2" ht="18.75" customHeight="1">
      <c r="A146" s="11"/>
      <c r="B146" s="10"/>
    </row>
    <row r="147" spans="1:2" ht="18.75" customHeight="1">
      <c r="A147" s="11"/>
      <c r="B147" s="10"/>
    </row>
    <row r="148" spans="1:2" ht="18.75" customHeight="1">
      <c r="A148" s="11"/>
      <c r="B148" s="10"/>
    </row>
    <row r="149" spans="1:2" ht="18.75" customHeight="1">
      <c r="A149" s="11"/>
      <c r="B149" s="10"/>
    </row>
    <row r="150" spans="1:2" ht="18.75" customHeight="1">
      <c r="A150" s="11"/>
      <c r="B150" s="10"/>
    </row>
    <row r="151" spans="1:2" ht="18.75" customHeight="1">
      <c r="A151" s="11"/>
      <c r="B151" s="10"/>
    </row>
    <row r="152" spans="1:2" ht="18.75" customHeight="1">
      <c r="A152" s="11"/>
      <c r="B152" s="10"/>
    </row>
    <row r="153" spans="1:2" ht="18.75" customHeight="1">
      <c r="A153" s="11"/>
      <c r="B153" s="10"/>
    </row>
    <row r="154" spans="1:2" ht="18.75" customHeight="1">
      <c r="A154" s="11"/>
      <c r="B154" s="10"/>
    </row>
    <row r="155" spans="1:2" ht="18.75" customHeight="1">
      <c r="A155" s="11"/>
      <c r="B155" s="10"/>
    </row>
    <row r="156" spans="1:2" ht="18.75" customHeight="1">
      <c r="A156" s="11"/>
      <c r="B156" s="10"/>
    </row>
    <row r="157" spans="1:2" ht="18.75" customHeight="1">
      <c r="A157" s="11"/>
      <c r="B157" s="10"/>
    </row>
    <row r="158" spans="1:2" ht="18.75" customHeight="1">
      <c r="A158" s="11"/>
      <c r="B158" s="10"/>
    </row>
    <row r="159" spans="1:2" ht="18.75" customHeight="1">
      <c r="A159" s="11"/>
      <c r="B159" s="10"/>
    </row>
    <row r="160" spans="1:2" ht="18.75" customHeight="1">
      <c r="A160" s="11"/>
      <c r="B160" s="10"/>
    </row>
    <row r="161" spans="1:2" ht="18.75" customHeight="1">
      <c r="A161" s="11"/>
      <c r="B161" s="10"/>
    </row>
    <row r="162" spans="1:2" ht="18.75" customHeight="1">
      <c r="A162" s="11"/>
      <c r="B162" s="10"/>
    </row>
    <row r="163" spans="1:2" ht="18.75" customHeight="1">
      <c r="A163" s="11"/>
      <c r="B163" s="10"/>
    </row>
    <row r="164" spans="1:2" ht="18.75" customHeight="1">
      <c r="A164" s="11"/>
      <c r="B164" s="10"/>
    </row>
    <row r="165" spans="1:2" ht="18.75" customHeight="1">
      <c r="A165" s="11"/>
      <c r="B165" s="10"/>
    </row>
    <row r="166" spans="1:2" ht="18.75" customHeight="1">
      <c r="A166" s="11"/>
      <c r="B166" s="10"/>
    </row>
    <row r="167" spans="1:2" ht="18.75" customHeight="1">
      <c r="A167" s="11"/>
      <c r="B167" s="10"/>
    </row>
    <row r="168" spans="1:2" ht="18.75" customHeight="1">
      <c r="A168" s="11"/>
      <c r="B168" s="10"/>
    </row>
    <row r="169" spans="1:2" ht="18.75" customHeight="1">
      <c r="A169" s="11"/>
      <c r="B169" s="10"/>
    </row>
    <row r="170" spans="1:2" ht="18.75" customHeight="1">
      <c r="A170" s="11"/>
      <c r="B170" s="10"/>
    </row>
    <row r="171" spans="1:2" ht="18.75" customHeight="1">
      <c r="A171" s="11"/>
      <c r="B171" s="10"/>
    </row>
    <row r="172" spans="1:2" ht="18.75" customHeight="1">
      <c r="A172" s="11"/>
      <c r="B172" s="10"/>
    </row>
    <row r="173" spans="1:2" ht="18.75" customHeight="1">
      <c r="A173" s="11"/>
      <c r="B173" s="10"/>
    </row>
    <row r="174" spans="1:2" ht="18.75" customHeight="1">
      <c r="A174" s="11"/>
      <c r="B174" s="10"/>
    </row>
    <row r="175" spans="1:2" ht="18.75" customHeight="1">
      <c r="A175" s="11"/>
      <c r="B175" s="10"/>
    </row>
    <row r="176" spans="1:2" ht="18.75" customHeight="1">
      <c r="A176" s="11"/>
      <c r="B176" s="10"/>
    </row>
    <row r="177" spans="1:2" ht="18.75" customHeight="1">
      <c r="A177" s="11"/>
      <c r="B177" s="10"/>
    </row>
    <row r="178" spans="1:2" ht="18.75" customHeight="1">
      <c r="A178" s="11"/>
      <c r="B178" s="10"/>
    </row>
    <row r="179" spans="1:2" ht="18.75" customHeight="1">
      <c r="A179" s="11"/>
      <c r="B179" s="10"/>
    </row>
    <row r="180" spans="1:2" ht="18.75" customHeight="1">
      <c r="A180" s="11"/>
      <c r="B180" s="10"/>
    </row>
    <row r="181" spans="1:2" ht="18.75" customHeight="1">
      <c r="A181" s="11"/>
      <c r="B181" s="10"/>
    </row>
    <row r="182" spans="1:2" ht="18.75" customHeight="1">
      <c r="A182" s="11"/>
      <c r="B182" s="10"/>
    </row>
    <row r="183" spans="1:2" ht="18.75" customHeight="1">
      <c r="A183" s="11"/>
      <c r="B183" s="10"/>
    </row>
    <row r="184" spans="1:2" ht="18.75" customHeight="1">
      <c r="A184" s="11"/>
      <c r="B184" s="10"/>
    </row>
    <row r="185" spans="1:2" ht="18.75" customHeight="1">
      <c r="A185" s="11"/>
      <c r="B185" s="10"/>
    </row>
    <row r="186" spans="1:2" ht="18.75" customHeight="1">
      <c r="A186" s="11"/>
      <c r="B186" s="10"/>
    </row>
    <row r="187" spans="1:2" ht="18.75" customHeight="1">
      <c r="A187" s="11"/>
      <c r="B187" s="10"/>
    </row>
    <row r="188" spans="1:2" ht="18.75" customHeight="1">
      <c r="A188" s="11"/>
      <c r="B188" s="10"/>
    </row>
    <row r="189" spans="1:2" ht="18.75" customHeight="1">
      <c r="A189" s="11"/>
      <c r="B189" s="10"/>
    </row>
    <row r="190" spans="1:2" ht="18.75" customHeight="1">
      <c r="A190" s="11"/>
      <c r="B190" s="10"/>
    </row>
    <row r="191" spans="1:2" ht="18.75" customHeight="1">
      <c r="A191" s="11"/>
      <c r="B191" s="10"/>
    </row>
    <row r="192" spans="1:2" ht="18.75" customHeight="1">
      <c r="A192" s="11"/>
      <c r="B192" s="10"/>
    </row>
    <row r="193" spans="1:2" ht="18.75" customHeight="1">
      <c r="A193" s="11"/>
      <c r="B193" s="10"/>
    </row>
    <row r="194" spans="1:2" ht="18.75" customHeight="1">
      <c r="A194" s="11"/>
      <c r="B194" s="10"/>
    </row>
    <row r="195" spans="1:2" ht="18.75" customHeight="1">
      <c r="A195" s="11"/>
      <c r="B195" s="10"/>
    </row>
    <row r="196" spans="1:2" ht="18.75" customHeight="1">
      <c r="A196" s="11"/>
      <c r="B196" s="10"/>
    </row>
    <row r="197" spans="1:2" ht="18.75" customHeight="1">
      <c r="A197" s="11"/>
      <c r="B197" s="10"/>
    </row>
    <row r="198" spans="1:2" ht="18.75" customHeight="1">
      <c r="A198" s="11"/>
      <c r="B198" s="10"/>
    </row>
    <row r="199" spans="1:2" ht="18.75" customHeight="1">
      <c r="A199" s="11"/>
      <c r="B199" s="10"/>
    </row>
    <row r="200" spans="1:2" ht="18.75" customHeight="1">
      <c r="A200" s="11"/>
      <c r="B200" s="10"/>
    </row>
    <row r="201" spans="1:2" ht="18.75" customHeight="1">
      <c r="A201" s="11"/>
      <c r="B201" s="10"/>
    </row>
    <row r="202" spans="1:2" ht="18.75" customHeight="1">
      <c r="A202" s="11"/>
      <c r="B202" s="10"/>
    </row>
    <row r="203" spans="1:2" ht="18.75" customHeight="1">
      <c r="A203" s="11"/>
      <c r="B203" s="10"/>
    </row>
    <row r="204" spans="1:2" ht="18.75" customHeight="1">
      <c r="A204" s="11"/>
      <c r="B204" s="10"/>
    </row>
    <row r="205" spans="1:2" ht="18.75" customHeight="1">
      <c r="A205" s="11"/>
      <c r="B205" s="10"/>
    </row>
    <row r="206" spans="1:2" ht="18.75" customHeight="1">
      <c r="A206" s="11"/>
      <c r="B206" s="10"/>
    </row>
    <row r="207" spans="1:2" ht="18.75" customHeight="1">
      <c r="A207" s="11"/>
      <c r="B207" s="10"/>
    </row>
    <row r="208" spans="1:2" ht="18.75" customHeight="1">
      <c r="A208" s="11"/>
      <c r="B208" s="10"/>
    </row>
    <row r="209" spans="1:2" ht="18.75" customHeight="1">
      <c r="A209" s="11"/>
      <c r="B209" s="10"/>
    </row>
    <row r="210" spans="1:2" ht="18.75" customHeight="1">
      <c r="A210" s="11"/>
      <c r="B210" s="10"/>
    </row>
    <row r="211" spans="1:2" ht="18.75" customHeight="1">
      <c r="A211" s="11"/>
      <c r="B211" s="10"/>
    </row>
    <row r="212" spans="1:2" ht="18.75" customHeight="1">
      <c r="A212" s="11"/>
      <c r="B212" s="10"/>
    </row>
    <row r="213" spans="1:2" ht="18.75" customHeight="1">
      <c r="A213" s="11"/>
      <c r="B213" s="10"/>
    </row>
    <row r="214" spans="1:2" ht="18.75" customHeight="1">
      <c r="A214" s="11"/>
      <c r="B214" s="10"/>
    </row>
    <row r="215" spans="1:2" ht="18.75" customHeight="1">
      <c r="A215" s="11"/>
      <c r="B215" s="10"/>
    </row>
    <row r="216" spans="1:2" ht="18.75" customHeight="1">
      <c r="A216" s="11"/>
      <c r="B216" s="10"/>
    </row>
    <row r="217" spans="1:2" ht="18.75" customHeight="1">
      <c r="A217" s="11"/>
      <c r="B217" s="10"/>
    </row>
    <row r="218" spans="1:2" ht="18.75" customHeight="1">
      <c r="A218" s="11"/>
      <c r="B218" s="10"/>
    </row>
    <row r="219" spans="1:2" ht="18.75" customHeight="1">
      <c r="A219" s="11"/>
      <c r="B219" s="10"/>
    </row>
    <row r="220" spans="1:2" ht="18.75" customHeight="1">
      <c r="A220" s="11"/>
      <c r="B220" s="10"/>
    </row>
    <row r="221" spans="1:2" ht="18.75" customHeight="1">
      <c r="A221" s="11"/>
      <c r="B221" s="10"/>
    </row>
    <row r="222" spans="1:2" ht="18.75" customHeight="1">
      <c r="A222" s="11"/>
      <c r="B222" s="10"/>
    </row>
    <row r="223" spans="1:2" ht="18.75" customHeight="1">
      <c r="A223" s="11"/>
      <c r="B223" s="10"/>
    </row>
    <row r="224" spans="1:2" ht="18.75" customHeight="1">
      <c r="A224" s="11"/>
      <c r="B224" s="10"/>
    </row>
    <row r="225" spans="1:2" ht="18.75" customHeight="1">
      <c r="A225" s="11"/>
      <c r="B225" s="10"/>
    </row>
    <row r="226" spans="1:2" ht="18.75" customHeight="1">
      <c r="A226" s="11"/>
      <c r="B226" s="10"/>
    </row>
    <row r="227" spans="1:2" ht="18.75" customHeight="1">
      <c r="A227" s="11"/>
      <c r="B227" s="10"/>
    </row>
    <row r="228" spans="1:2" ht="18.75" customHeight="1">
      <c r="A228" s="11"/>
      <c r="B228" s="10"/>
    </row>
    <row r="229" spans="1:2" ht="18.75" customHeight="1">
      <c r="A229" s="11"/>
      <c r="B229" s="10"/>
    </row>
    <row r="230" spans="1:2" ht="18.75" customHeight="1">
      <c r="A230" s="11"/>
      <c r="B230" s="10"/>
    </row>
    <row r="231" spans="1:2" ht="18.75" customHeight="1">
      <c r="A231" s="11"/>
      <c r="B231" s="10"/>
    </row>
    <row r="232" spans="1:2" ht="18.75" customHeight="1">
      <c r="A232" s="11"/>
      <c r="B232" s="10"/>
    </row>
    <row r="233" spans="1:2" ht="18.75" customHeight="1">
      <c r="A233" s="11"/>
      <c r="B233" s="10"/>
    </row>
    <row r="234" spans="1:2" ht="18.75" customHeight="1">
      <c r="A234" s="11"/>
      <c r="B234" s="10"/>
    </row>
    <row r="235" spans="1:2" ht="18.75" customHeight="1">
      <c r="A235" s="11"/>
      <c r="B235" s="10"/>
    </row>
    <row r="236" spans="1:2" ht="18.75" customHeight="1">
      <c r="A236" s="11"/>
      <c r="B236" s="10"/>
    </row>
    <row r="237" spans="1:2" ht="18.75" customHeight="1">
      <c r="A237" s="11"/>
      <c r="B237" s="10"/>
    </row>
    <row r="238" spans="1:2" ht="18.75" customHeight="1">
      <c r="A238" s="11"/>
      <c r="B238" s="10"/>
    </row>
    <row r="239" spans="1:2" ht="18.75" customHeight="1">
      <c r="A239" s="11"/>
      <c r="B239" s="10"/>
    </row>
    <row r="240" spans="1:2" ht="18.75" customHeight="1">
      <c r="A240" s="11"/>
      <c r="B240" s="10"/>
    </row>
    <row r="241" spans="1:2" ht="18.75" customHeight="1">
      <c r="A241" s="11"/>
      <c r="B241" s="10"/>
    </row>
    <row r="242" spans="1:2" ht="18.75" customHeight="1">
      <c r="A242" s="11"/>
      <c r="B242" s="10"/>
    </row>
    <row r="243" spans="1:2" ht="18.75" customHeight="1">
      <c r="A243" s="11"/>
      <c r="B243" s="10"/>
    </row>
    <row r="244" spans="1:2" ht="18.75" customHeight="1">
      <c r="A244" s="11"/>
      <c r="B244" s="10"/>
    </row>
    <row r="245" spans="1:2" ht="18.75" customHeight="1">
      <c r="A245" s="11"/>
      <c r="B245" s="10"/>
    </row>
    <row r="246" spans="1:2" ht="18.75" customHeight="1">
      <c r="A246" s="11"/>
      <c r="B246" s="10"/>
    </row>
    <row r="247" spans="1:2" ht="18.75" customHeight="1">
      <c r="A247" s="11"/>
      <c r="B247" s="10"/>
    </row>
    <row r="248" spans="1:2" ht="18.75" customHeight="1">
      <c r="A248" s="11"/>
      <c r="B248" s="10"/>
    </row>
    <row r="249" spans="1:2" ht="18.75" customHeight="1">
      <c r="A249" s="11"/>
      <c r="B249" s="10"/>
    </row>
    <row r="250" spans="1:2" ht="18.75" customHeight="1">
      <c r="A250" s="11"/>
      <c r="B250" s="10"/>
    </row>
    <row r="251" spans="1:2" ht="18.75" customHeight="1">
      <c r="A251" s="11"/>
      <c r="B251" s="10"/>
    </row>
    <row r="252" spans="1:2" ht="18.75" customHeight="1">
      <c r="A252" s="11"/>
      <c r="B252" s="10"/>
    </row>
    <row r="253" spans="1:2" ht="18.75" customHeight="1">
      <c r="A253" s="11"/>
      <c r="B253" s="10"/>
    </row>
    <row r="254" spans="1:2" ht="18.75" customHeight="1">
      <c r="A254" s="11"/>
      <c r="B254" s="10"/>
    </row>
    <row r="255" spans="1:2" ht="18.75" customHeight="1">
      <c r="A255" s="11"/>
      <c r="B255" s="10"/>
    </row>
    <row r="256" spans="1:2" ht="18.75" customHeight="1">
      <c r="A256" s="11"/>
      <c r="B256" s="10"/>
    </row>
    <row r="257" spans="1:2" ht="18.75" customHeight="1">
      <c r="A257" s="11"/>
      <c r="B257" s="10"/>
    </row>
    <row r="258" spans="1:2" ht="18.75" customHeight="1">
      <c r="A258" s="11"/>
      <c r="B258" s="10"/>
    </row>
    <row r="259" spans="1:2" ht="18.75" customHeight="1">
      <c r="A259" s="11"/>
      <c r="B259" s="10"/>
    </row>
    <row r="260" spans="1:2" ht="18.75" customHeight="1">
      <c r="A260" s="11"/>
      <c r="B260" s="10"/>
    </row>
    <row r="261" spans="1:2" ht="18.75" customHeight="1">
      <c r="A261" s="11"/>
      <c r="B261" s="10"/>
    </row>
    <row r="262" spans="1:2" ht="18.75" customHeight="1">
      <c r="A262" s="11"/>
      <c r="B262" s="10"/>
    </row>
    <row r="263" spans="1:2" ht="18.75" customHeight="1">
      <c r="A263" s="11"/>
      <c r="B263" s="10"/>
    </row>
    <row r="264" spans="1:2" ht="18.75" customHeight="1">
      <c r="A264" s="11"/>
      <c r="B264" s="10"/>
    </row>
    <row r="265" spans="1:2" ht="18.75" customHeight="1">
      <c r="A265" s="11"/>
      <c r="B265" s="10"/>
    </row>
    <row r="266" spans="1:2" ht="18.75" customHeight="1">
      <c r="A266" s="11"/>
      <c r="B266" s="10"/>
    </row>
    <row r="267" spans="1:2" ht="18.75" customHeight="1">
      <c r="A267" s="11"/>
      <c r="B267" s="10"/>
    </row>
    <row r="268" spans="1:2" ht="18.75" customHeight="1">
      <c r="A268" s="11"/>
      <c r="B268" s="10"/>
    </row>
    <row r="269" spans="1:2" ht="18.75" customHeight="1">
      <c r="A269" s="11"/>
      <c r="B269" s="10"/>
    </row>
    <row r="270" spans="1:2" ht="18.75" customHeight="1">
      <c r="A270" s="11"/>
      <c r="B270" s="10"/>
    </row>
    <row r="271" spans="1:2" ht="18.75" customHeight="1">
      <c r="A271" s="11"/>
      <c r="B271" s="10"/>
    </row>
    <row r="272" spans="1:2" ht="18.75" customHeight="1">
      <c r="A272" s="11"/>
      <c r="B272" s="10"/>
    </row>
    <row r="273" spans="1:2" ht="18.75" customHeight="1">
      <c r="A273" s="11"/>
      <c r="B273" s="10"/>
    </row>
    <row r="274" spans="1:2" ht="18.75" customHeight="1">
      <c r="A274" s="11"/>
      <c r="B274" s="10"/>
    </row>
    <row r="275" spans="1:2" ht="18.75" customHeight="1">
      <c r="A275" s="11"/>
      <c r="B275" s="10"/>
    </row>
    <row r="276" spans="1:2" ht="18.75" customHeight="1">
      <c r="A276" s="11"/>
      <c r="B276" s="10"/>
    </row>
    <row r="277" spans="1:2" ht="18.75" customHeight="1">
      <c r="A277" s="11"/>
      <c r="B277" s="10"/>
    </row>
    <row r="278" spans="1:2" ht="18.75" customHeight="1">
      <c r="A278" s="11"/>
      <c r="B278" s="10"/>
    </row>
    <row r="279" spans="1:2" ht="18.75" customHeight="1">
      <c r="A279" s="11"/>
      <c r="B279" s="10"/>
    </row>
    <row r="280" spans="1:2" ht="18.75" customHeight="1">
      <c r="A280" s="11"/>
      <c r="B280" s="10"/>
    </row>
    <row r="281" spans="1:2" ht="18.75" customHeight="1">
      <c r="A281" s="11"/>
      <c r="B281" s="10"/>
    </row>
    <row r="282" spans="1:2" ht="18.75" customHeight="1">
      <c r="A282" s="11"/>
      <c r="B282" s="10"/>
    </row>
    <row r="283" spans="1:2" ht="18.75" customHeight="1">
      <c r="A283" s="11"/>
      <c r="B283" s="10"/>
    </row>
    <row r="284" spans="1:2" ht="18.75" customHeight="1">
      <c r="A284" s="11"/>
      <c r="B284" s="10"/>
    </row>
    <row r="285" spans="1:2" ht="18.75" customHeight="1">
      <c r="A285" s="11"/>
      <c r="B285" s="10"/>
    </row>
    <row r="286" spans="1:2" ht="18.75" customHeight="1">
      <c r="A286" s="11"/>
      <c r="B286" s="10"/>
    </row>
    <row r="287" spans="1:2" ht="18.75" customHeight="1">
      <c r="A287" s="11"/>
      <c r="B287" s="10"/>
    </row>
    <row r="288" spans="1:2" ht="18.75" customHeight="1">
      <c r="A288" s="11"/>
      <c r="B288" s="10"/>
    </row>
    <row r="289" spans="1:2" ht="18.75" customHeight="1">
      <c r="A289" s="11"/>
      <c r="B289" s="10"/>
    </row>
    <row r="290" spans="1:2" ht="18.75" customHeight="1">
      <c r="A290" s="11"/>
      <c r="B290" s="10"/>
    </row>
    <row r="291" spans="1:2" ht="18.75" customHeight="1">
      <c r="A291" s="11"/>
      <c r="B291" s="10"/>
    </row>
    <row r="292" spans="1:2" ht="18.75" customHeight="1">
      <c r="A292" s="11"/>
      <c r="B292" s="10"/>
    </row>
    <row r="293" spans="1:2" ht="18.75" customHeight="1">
      <c r="A293" s="11"/>
      <c r="B293" s="10"/>
    </row>
    <row r="294" spans="1:2" ht="18.75" customHeight="1">
      <c r="A294" s="11"/>
      <c r="B294" s="10"/>
    </row>
    <row r="295" spans="1:2" ht="18.75" customHeight="1">
      <c r="A295" s="11"/>
      <c r="B295" s="10"/>
    </row>
    <row r="296" spans="1:2" ht="18.75" customHeight="1">
      <c r="A296" s="11"/>
      <c r="B296" s="10"/>
    </row>
    <row r="297" spans="1:2" ht="18.75" customHeight="1">
      <c r="A297" s="11"/>
      <c r="B297" s="10"/>
    </row>
    <row r="298" spans="1:2" ht="18.75" customHeight="1">
      <c r="A298" s="11"/>
      <c r="B298" s="10"/>
    </row>
    <row r="299" spans="1:2" ht="18.75" customHeight="1">
      <c r="A299" s="11"/>
      <c r="B299" s="10"/>
    </row>
    <row r="300" spans="1:2" ht="18.75" customHeight="1">
      <c r="A300" s="11"/>
      <c r="B300" s="10"/>
    </row>
    <row r="301" spans="1:2" ht="18.75" customHeight="1">
      <c r="A301" s="11"/>
      <c r="B301" s="10"/>
    </row>
    <row r="302" spans="1:2" ht="18.75" customHeight="1">
      <c r="A302" s="11"/>
      <c r="B302" s="10"/>
    </row>
    <row r="303" spans="1:2" ht="18.75" customHeight="1">
      <c r="A303" s="11"/>
      <c r="B303" s="10"/>
    </row>
    <row r="304" spans="1:2" ht="18.75" customHeight="1">
      <c r="A304" s="11"/>
      <c r="B304" s="10"/>
    </row>
    <row r="305" spans="1:2" ht="18.75" customHeight="1">
      <c r="A305" s="11"/>
      <c r="B305" s="10"/>
    </row>
    <row r="306" spans="1:2" ht="18.75" customHeight="1">
      <c r="A306" s="11"/>
      <c r="B306" s="10"/>
    </row>
    <row r="307" spans="1:2" ht="18.75" customHeight="1">
      <c r="A307" s="11"/>
      <c r="B307" s="10"/>
    </row>
    <row r="308" spans="1:2" ht="18.75" customHeight="1">
      <c r="A308" s="11"/>
      <c r="B308" s="10"/>
    </row>
    <row r="309" spans="1:2" ht="18.75" customHeight="1">
      <c r="A309" s="11"/>
      <c r="B309" s="10"/>
    </row>
    <row r="310" spans="1:2" ht="18.75" customHeight="1">
      <c r="A310" s="11"/>
      <c r="B310" s="10"/>
    </row>
    <row r="311" spans="1:2" ht="18.75" customHeight="1">
      <c r="A311" s="11"/>
      <c r="B311" s="10"/>
    </row>
    <row r="312" spans="1:2" ht="18.75" customHeight="1">
      <c r="A312" s="11"/>
      <c r="B312" s="10"/>
    </row>
    <row r="313" spans="1:2" ht="18.75" customHeight="1">
      <c r="A313" s="11"/>
      <c r="B313" s="10"/>
    </row>
    <row r="314" spans="1:2" ht="18.75" customHeight="1">
      <c r="A314" s="11"/>
      <c r="B314" s="10"/>
    </row>
    <row r="315" spans="1:2" ht="18.75" customHeight="1">
      <c r="A315" s="11"/>
      <c r="B315" s="10"/>
    </row>
    <row r="316" spans="1:2" ht="18.75" customHeight="1">
      <c r="A316" s="11"/>
      <c r="B316" s="10"/>
    </row>
    <row r="317" spans="1:2" ht="18.75" customHeight="1">
      <c r="A317" s="11"/>
      <c r="B317" s="10"/>
    </row>
    <row r="318" spans="1:2" ht="18.75" customHeight="1">
      <c r="A318" s="11"/>
      <c r="B318" s="10"/>
    </row>
    <row r="319" spans="1:2" ht="18.75" customHeight="1">
      <c r="A319" s="11"/>
      <c r="B319" s="10"/>
    </row>
    <row r="320" spans="1:2" ht="18.75" customHeight="1">
      <c r="A320" s="11"/>
      <c r="B320" s="10"/>
    </row>
    <row r="321" spans="1:2" ht="18.75" customHeight="1">
      <c r="A321" s="11"/>
      <c r="B321" s="10"/>
    </row>
    <row r="322" spans="1:2" ht="18.75" customHeight="1">
      <c r="A322" s="11"/>
      <c r="B322" s="10"/>
    </row>
    <row r="323" spans="1:2" ht="18.75" customHeight="1">
      <c r="A323" s="11"/>
      <c r="B323" s="10"/>
    </row>
    <row r="324" spans="1:2" ht="18.75" customHeight="1">
      <c r="A324" s="11"/>
      <c r="B324" s="10"/>
    </row>
    <row r="325" spans="1:2" ht="18.75" customHeight="1">
      <c r="A325" s="11"/>
      <c r="B325" s="10"/>
    </row>
    <row r="326" spans="1:2" ht="18.75" customHeight="1">
      <c r="A326" s="11"/>
      <c r="B326" s="10"/>
    </row>
    <row r="327" spans="1:2" ht="18.75" customHeight="1">
      <c r="A327" s="11"/>
      <c r="B327" s="10"/>
    </row>
    <row r="328" spans="1:2" ht="18.75" customHeight="1">
      <c r="A328" s="11"/>
      <c r="B328" s="10"/>
    </row>
    <row r="329" spans="1:2" ht="18.75" customHeight="1">
      <c r="A329" s="11"/>
      <c r="B329" s="10"/>
    </row>
    <row r="330" spans="1:2" ht="18.75" customHeight="1">
      <c r="A330" s="11"/>
      <c r="B330" s="10"/>
    </row>
    <row r="331" spans="1:2" ht="18.75" customHeight="1">
      <c r="A331" s="11"/>
      <c r="B331" s="10"/>
    </row>
    <row r="332" spans="1:2" ht="18.75" customHeight="1">
      <c r="A332" s="11"/>
      <c r="B332" s="10"/>
    </row>
    <row r="333" spans="1:2" ht="18.75" customHeight="1">
      <c r="A333" s="11"/>
      <c r="B333" s="10"/>
    </row>
    <row r="334" spans="1:2" ht="18.75" customHeight="1">
      <c r="A334" s="11"/>
      <c r="B334" s="10"/>
    </row>
    <row r="335" spans="1:2" ht="18.75" customHeight="1">
      <c r="A335" s="11"/>
      <c r="B335" s="10"/>
    </row>
    <row r="336" spans="1:2" ht="18.75" customHeight="1">
      <c r="A336" s="11"/>
      <c r="B336" s="10"/>
    </row>
    <row r="337" spans="1:2" ht="18.75" customHeight="1">
      <c r="A337" s="11"/>
      <c r="B337" s="10"/>
    </row>
    <row r="338" spans="1:2" ht="18.75" customHeight="1">
      <c r="A338" s="11"/>
      <c r="B338" s="10"/>
    </row>
    <row r="339" spans="1:2" ht="18.75" customHeight="1">
      <c r="A339" s="11"/>
      <c r="B339" s="10"/>
    </row>
    <row r="340" spans="1:2" ht="18.75" customHeight="1">
      <c r="A340" s="11"/>
      <c r="B340" s="10"/>
    </row>
    <row r="341" spans="1:2" ht="18.75" customHeight="1">
      <c r="A341" s="11"/>
      <c r="B341" s="10"/>
    </row>
    <row r="342" spans="1:2" ht="18.75" customHeight="1">
      <c r="A342" s="11"/>
      <c r="B342" s="10"/>
    </row>
    <row r="343" spans="1:2" ht="18.75" customHeight="1">
      <c r="A343" s="11"/>
      <c r="B343" s="10"/>
    </row>
    <row r="344" spans="1:2" ht="18.75" customHeight="1">
      <c r="A344" s="11"/>
      <c r="B344" s="10"/>
    </row>
    <row r="345" spans="1:2" ht="18.75" customHeight="1">
      <c r="A345" s="11"/>
      <c r="B345" s="10"/>
    </row>
    <row r="346" spans="1:2" ht="18.75" customHeight="1">
      <c r="A346" s="11"/>
      <c r="B346" s="10"/>
    </row>
    <row r="347" spans="1:2" ht="18.75" customHeight="1">
      <c r="A347" s="11"/>
      <c r="B347" s="10"/>
    </row>
    <row r="348" spans="1:2" ht="18.75" customHeight="1">
      <c r="A348" s="11"/>
      <c r="B348" s="10"/>
    </row>
    <row r="349" spans="1:2" ht="18.75" customHeight="1">
      <c r="A349" s="11"/>
      <c r="B349" s="10"/>
    </row>
    <row r="350" spans="1:2" ht="18.75" customHeight="1">
      <c r="A350" s="11"/>
      <c r="B350" s="10"/>
    </row>
    <row r="351" spans="1:2" ht="18.75" customHeight="1">
      <c r="A351" s="11"/>
      <c r="B351" s="10"/>
    </row>
    <row r="352" spans="1:2" ht="18.75" customHeight="1">
      <c r="A352" s="11"/>
      <c r="B352" s="10"/>
    </row>
    <row r="353" spans="1:2" ht="18.75" customHeight="1">
      <c r="A353" s="11"/>
      <c r="B353" s="10"/>
    </row>
    <row r="354" spans="1:2" ht="18.75" customHeight="1">
      <c r="A354" s="11"/>
      <c r="B354" s="10"/>
    </row>
    <row r="355" spans="1:2" ht="18.75" customHeight="1">
      <c r="A355" s="11"/>
      <c r="B355" s="10"/>
    </row>
    <row r="356" spans="1:2" ht="18.75" customHeight="1">
      <c r="A356" s="11"/>
      <c r="B356" s="10"/>
    </row>
    <row r="357" spans="1:2" ht="18.75" customHeight="1">
      <c r="A357" s="11"/>
      <c r="B357" s="10"/>
    </row>
    <row r="358" spans="1:2" ht="18.75" customHeight="1">
      <c r="A358" s="11"/>
      <c r="B358" s="10"/>
    </row>
    <row r="359" spans="1:2" ht="18.75" customHeight="1">
      <c r="A359" s="11"/>
      <c r="B359" s="10"/>
    </row>
    <row r="360" spans="1:2" ht="18.75" customHeight="1">
      <c r="A360" s="11"/>
      <c r="B360" s="10"/>
    </row>
    <row r="361" spans="1:2" ht="18.75" customHeight="1">
      <c r="A361" s="11"/>
      <c r="B361" s="10"/>
    </row>
    <row r="362" spans="1:2" ht="18.75" customHeight="1">
      <c r="A362" s="11"/>
      <c r="B362" s="10"/>
    </row>
    <row r="363" spans="1:2" ht="18.75" customHeight="1">
      <c r="A363" s="11"/>
      <c r="B363" s="10"/>
    </row>
    <row r="364" spans="1:2" ht="18.75" customHeight="1">
      <c r="A364" s="11"/>
      <c r="B364" s="10"/>
    </row>
    <row r="365" spans="1:2" ht="18.75" customHeight="1">
      <c r="A365" s="11"/>
      <c r="B365" s="10"/>
    </row>
    <row r="366" spans="1:2" ht="18.75" customHeight="1">
      <c r="A366" s="11"/>
      <c r="B366" s="10"/>
    </row>
    <row r="367" spans="1:2" ht="18.75" customHeight="1">
      <c r="A367" s="11"/>
      <c r="B367" s="10"/>
    </row>
    <row r="368" spans="1:2" ht="18.75" customHeight="1">
      <c r="A368" s="11"/>
      <c r="B368" s="10"/>
    </row>
    <row r="369" spans="1:2" ht="18.75" customHeight="1">
      <c r="A369" s="11"/>
      <c r="B369" s="10"/>
    </row>
    <row r="370" spans="1:2" ht="18.75" customHeight="1">
      <c r="A370" s="11"/>
      <c r="B370" s="10"/>
    </row>
    <row r="371" spans="1:2" ht="18.75" customHeight="1">
      <c r="A371" s="11"/>
      <c r="B371" s="10"/>
    </row>
    <row r="372" spans="1:2" ht="18.75" customHeight="1">
      <c r="A372" s="11"/>
      <c r="B372" s="10"/>
    </row>
    <row r="373" spans="1:2" ht="18.75" customHeight="1">
      <c r="A373" s="11"/>
      <c r="B373" s="10"/>
    </row>
    <row r="374" spans="1:2" ht="18.75" customHeight="1">
      <c r="A374" s="11"/>
      <c r="B374" s="10"/>
    </row>
    <row r="375" spans="1:2" ht="18.75" customHeight="1">
      <c r="A375" s="11"/>
      <c r="B375" s="10"/>
    </row>
    <row r="376" spans="1:2" ht="18.75" customHeight="1">
      <c r="A376" s="11"/>
      <c r="B376" s="10"/>
    </row>
    <row r="377" spans="1:2" ht="18.75" customHeight="1">
      <c r="A377" s="11"/>
      <c r="B377" s="10"/>
    </row>
    <row r="378" spans="1:2" ht="18.75" customHeight="1">
      <c r="A378" s="11"/>
      <c r="B378" s="10"/>
    </row>
    <row r="379" spans="1:2" ht="18.75" customHeight="1">
      <c r="A379" s="11"/>
      <c r="B379" s="10"/>
    </row>
    <row r="380" spans="1:2" ht="18.75" customHeight="1">
      <c r="A380" s="11"/>
      <c r="B380" s="10"/>
    </row>
    <row r="381" spans="1:2" ht="18.75" customHeight="1">
      <c r="A381" s="11"/>
      <c r="B381" s="10"/>
    </row>
    <row r="382" spans="1:2" ht="18.75" customHeight="1">
      <c r="A382" s="11"/>
      <c r="B382" s="10"/>
    </row>
    <row r="383" spans="1:2" ht="18.75" customHeight="1">
      <c r="A383" s="11"/>
      <c r="B383" s="10"/>
    </row>
    <row r="384" spans="1:2" ht="18.75" customHeight="1">
      <c r="A384" s="11"/>
      <c r="B384" s="10"/>
    </row>
    <row r="385" spans="1:2" ht="18.75" customHeight="1">
      <c r="A385" s="11"/>
      <c r="B385" s="10"/>
    </row>
    <row r="386" spans="1:2" ht="18.75" customHeight="1">
      <c r="A386" s="11"/>
      <c r="B386" s="10"/>
    </row>
    <row r="387" spans="1:2" ht="18.75" customHeight="1">
      <c r="A387" s="11"/>
      <c r="B387" s="10"/>
    </row>
    <row r="388" spans="1:2" ht="18.75" customHeight="1">
      <c r="A388" s="11"/>
      <c r="B388" s="10"/>
    </row>
    <row r="389" spans="1:2" ht="18.75" customHeight="1">
      <c r="A389" s="11"/>
      <c r="B389" s="10"/>
    </row>
    <row r="390" spans="1:2" ht="18.75" customHeight="1">
      <c r="A390" s="11"/>
      <c r="B390" s="10"/>
    </row>
    <row r="391" spans="1:2" ht="18.75" customHeight="1">
      <c r="A391" s="11"/>
      <c r="B391" s="10"/>
    </row>
    <row r="392" spans="1:2" ht="18.75" customHeight="1">
      <c r="A392" s="11"/>
      <c r="B392" s="10"/>
    </row>
    <row r="393" spans="1:2" ht="18.75" customHeight="1">
      <c r="A393" s="11"/>
      <c r="B393" s="10"/>
    </row>
    <row r="394" spans="1:2" ht="18.75" customHeight="1">
      <c r="A394" s="11"/>
      <c r="B394" s="10"/>
    </row>
    <row r="395" spans="1:2" ht="18.75" customHeight="1">
      <c r="A395" s="11"/>
      <c r="B395" s="10"/>
    </row>
    <row r="396" spans="1:2" ht="18.75" customHeight="1">
      <c r="A396" s="11"/>
      <c r="B396" s="10"/>
    </row>
    <row r="397" spans="1:2" ht="18.75" customHeight="1">
      <c r="A397" s="11"/>
      <c r="B397" s="10"/>
    </row>
    <row r="398" spans="1:2" ht="18.75" customHeight="1">
      <c r="A398" s="11"/>
      <c r="B398" s="10"/>
    </row>
    <row r="399" spans="1:2" ht="18.75" customHeight="1">
      <c r="A399" s="11"/>
      <c r="B399" s="10"/>
    </row>
    <row r="400" spans="1:2" ht="18.75" customHeight="1">
      <c r="A400" s="11"/>
      <c r="B400" s="10"/>
    </row>
    <row r="401" spans="1:2" ht="18.75" customHeight="1">
      <c r="A401" s="11"/>
      <c r="B401" s="10"/>
    </row>
    <row r="402" spans="1:2" ht="18.75" customHeight="1">
      <c r="A402" s="11"/>
      <c r="B402" s="10"/>
    </row>
    <row r="403" spans="1:2" ht="18.75" customHeight="1">
      <c r="A403" s="11"/>
      <c r="B403" s="10"/>
    </row>
    <row r="404" spans="1:2" ht="18.75" customHeight="1">
      <c r="A404" s="11"/>
      <c r="B404" s="10"/>
    </row>
    <row r="405" spans="1:2" ht="18.75" customHeight="1">
      <c r="A405" s="11"/>
      <c r="B405" s="10"/>
    </row>
    <row r="406" spans="1:2" ht="18.75" customHeight="1">
      <c r="A406" s="11"/>
      <c r="B406" s="10"/>
    </row>
    <row r="407" spans="1:2" ht="18.75" customHeight="1">
      <c r="A407" s="11"/>
      <c r="B407" s="10"/>
    </row>
    <row r="408" spans="1:2" ht="18.75" customHeight="1">
      <c r="A408" s="11"/>
      <c r="B408" s="10"/>
    </row>
    <row r="409" spans="1:2" ht="18.75" customHeight="1">
      <c r="A409" s="11"/>
      <c r="B409" s="10"/>
    </row>
    <row r="410" spans="1:2" ht="18.75" customHeight="1">
      <c r="A410" s="11"/>
      <c r="B410" s="10"/>
    </row>
    <row r="411" spans="1:2" ht="18.75" customHeight="1">
      <c r="A411" s="11"/>
      <c r="B411" s="10"/>
    </row>
    <row r="412" spans="1:2" ht="18.75" customHeight="1">
      <c r="A412" s="11"/>
      <c r="B412" s="10"/>
    </row>
    <row r="413" spans="1:2" ht="18.75" customHeight="1">
      <c r="A413" s="11"/>
      <c r="B413" s="10"/>
    </row>
    <row r="414" spans="1:2" ht="18.75" customHeight="1">
      <c r="A414" s="11"/>
      <c r="B414" s="10"/>
    </row>
    <row r="415" spans="1:2" ht="18.75" customHeight="1">
      <c r="A415" s="11"/>
      <c r="B415" s="10"/>
    </row>
    <row r="416" spans="1:2" ht="18.75" customHeight="1">
      <c r="A416" s="11"/>
      <c r="B416" s="10"/>
    </row>
    <row r="417" spans="1:2" ht="18.75" customHeight="1">
      <c r="A417" s="11"/>
      <c r="B417" s="10"/>
    </row>
    <row r="418" spans="1:2" ht="18.75" customHeight="1">
      <c r="A418" s="11"/>
      <c r="B418" s="10"/>
    </row>
    <row r="419" spans="1:2" ht="18.75" customHeight="1">
      <c r="A419" s="11"/>
      <c r="B419" s="10"/>
    </row>
    <row r="420" spans="1:2" ht="18.75" customHeight="1">
      <c r="A420" s="11"/>
      <c r="B420" s="10"/>
    </row>
    <row r="421" spans="1:2" ht="18.75" customHeight="1">
      <c r="A421" s="11"/>
      <c r="B421" s="10"/>
    </row>
    <row r="422" spans="1:2" ht="18.75" customHeight="1">
      <c r="A422" s="11"/>
      <c r="B422" s="10"/>
    </row>
    <row r="423" spans="1:2" ht="18.75" customHeight="1">
      <c r="A423" s="11"/>
      <c r="B423" s="10"/>
    </row>
    <row r="424" spans="1:2" ht="18.75" customHeight="1">
      <c r="A424" s="11"/>
      <c r="B424" s="10"/>
    </row>
    <row r="425" spans="1:2" ht="18.75" customHeight="1">
      <c r="A425" s="11"/>
      <c r="B425" s="10"/>
    </row>
    <row r="426" spans="1:2" ht="18.75" customHeight="1">
      <c r="A426" s="11"/>
      <c r="B426" s="10"/>
    </row>
    <row r="427" spans="1:2" ht="18.75" customHeight="1">
      <c r="A427" s="11"/>
      <c r="B427" s="10"/>
    </row>
    <row r="428" spans="1:2" ht="18.75" customHeight="1">
      <c r="A428" s="11"/>
      <c r="B428" s="10"/>
    </row>
    <row r="429" spans="1:2" ht="18.75" customHeight="1">
      <c r="A429" s="11"/>
      <c r="B429" s="10"/>
    </row>
    <row r="430" spans="1:2" ht="18.75" customHeight="1">
      <c r="A430" s="11"/>
      <c r="B430" s="10"/>
    </row>
    <row r="431" spans="1:2" ht="18.75" customHeight="1">
      <c r="A431" s="11"/>
      <c r="B431" s="10"/>
    </row>
    <row r="432" spans="1:2" ht="18.75" customHeight="1">
      <c r="A432" s="11"/>
      <c r="B432" s="10"/>
    </row>
    <row r="433" spans="1:2" ht="18.75" customHeight="1">
      <c r="A433" s="11"/>
      <c r="B433" s="10"/>
    </row>
    <row r="434" spans="1:2" ht="18.75" customHeight="1">
      <c r="A434" s="11"/>
      <c r="B434" s="10"/>
    </row>
    <row r="435" spans="1:2" ht="18.75" customHeight="1">
      <c r="A435" s="11"/>
      <c r="B435" s="10"/>
    </row>
    <row r="436" spans="1:2" ht="18.75" customHeight="1">
      <c r="A436" s="11"/>
      <c r="B436" s="10"/>
    </row>
    <row r="437" spans="1:2" ht="18.75" customHeight="1">
      <c r="A437" s="11"/>
      <c r="B437" s="10"/>
    </row>
    <row r="438" spans="1:2" ht="18.75" customHeight="1">
      <c r="A438" s="11"/>
      <c r="B438" s="10"/>
    </row>
    <row r="439" spans="1:2" ht="18.75" customHeight="1">
      <c r="A439" s="11"/>
      <c r="B439" s="10"/>
    </row>
    <row r="440" spans="1:2" ht="18.75" customHeight="1">
      <c r="A440" s="11"/>
      <c r="B440" s="10"/>
    </row>
    <row r="441" spans="1:2" ht="18.75" customHeight="1">
      <c r="A441" s="11"/>
      <c r="B441" s="10"/>
    </row>
    <row r="442" spans="1:2" ht="18.75" customHeight="1">
      <c r="A442" s="11"/>
      <c r="B442" s="10"/>
    </row>
    <row r="443" spans="1:2" ht="18.75" customHeight="1">
      <c r="A443" s="11"/>
      <c r="B443" s="10"/>
    </row>
    <row r="444" spans="1:2" ht="18.75" customHeight="1">
      <c r="A444" s="11"/>
      <c r="B444" s="10"/>
    </row>
    <row r="445" spans="1:2" ht="18.75" customHeight="1">
      <c r="A445" s="11"/>
      <c r="B445" s="10"/>
    </row>
    <row r="446" spans="1:2" ht="18.75" customHeight="1">
      <c r="A446" s="11"/>
      <c r="B446" s="10"/>
    </row>
    <row r="447" spans="1:2" ht="18.75" customHeight="1">
      <c r="A447" s="11"/>
      <c r="B447" s="10"/>
    </row>
    <row r="448" spans="1:2" ht="18.75" customHeight="1">
      <c r="A448" s="11"/>
      <c r="B448" s="10"/>
    </row>
    <row r="449" spans="1:2" ht="18.75" customHeight="1">
      <c r="A449" s="11"/>
      <c r="B449" s="10"/>
    </row>
    <row r="450" spans="1:2" ht="18.75" customHeight="1">
      <c r="A450" s="11"/>
      <c r="B450" s="10"/>
    </row>
    <row r="451" spans="1:2" ht="18.75" customHeight="1">
      <c r="A451" s="11"/>
      <c r="B451" s="10"/>
    </row>
    <row r="452" spans="1:2" ht="18.75" customHeight="1">
      <c r="A452" s="11"/>
      <c r="B452" s="10"/>
    </row>
    <row r="453" spans="1:2" ht="18.75" customHeight="1">
      <c r="A453" s="11"/>
      <c r="B453" s="10"/>
    </row>
    <row r="454" spans="1:2" ht="18.75" customHeight="1">
      <c r="A454" s="11"/>
      <c r="B454" s="10"/>
    </row>
    <row r="455" spans="1:2" ht="18.75" customHeight="1">
      <c r="A455" s="11"/>
      <c r="B455" s="10"/>
    </row>
    <row r="456" spans="1:2" ht="18.75" customHeight="1">
      <c r="A456" s="11"/>
      <c r="B456" s="10"/>
    </row>
    <row r="457" spans="1:2" ht="18.75" customHeight="1">
      <c r="A457" s="11"/>
      <c r="B457" s="10"/>
    </row>
    <row r="458" spans="1:2" ht="18.75" customHeight="1">
      <c r="A458" s="11"/>
      <c r="B458" s="10"/>
    </row>
    <row r="459" spans="1:2" ht="18.75" customHeight="1">
      <c r="A459" s="11"/>
      <c r="B459" s="10"/>
    </row>
    <row r="460" spans="1:2" ht="18.75" customHeight="1">
      <c r="A460" s="11"/>
      <c r="B460" s="10"/>
    </row>
    <row r="461" spans="1:2" ht="18.75" customHeight="1">
      <c r="A461" s="11"/>
      <c r="B461" s="10"/>
    </row>
    <row r="462" spans="1:2" ht="18.75" customHeight="1">
      <c r="A462" s="11"/>
      <c r="B462" s="10"/>
    </row>
    <row r="463" spans="1:2" ht="18.75" customHeight="1">
      <c r="A463" s="11"/>
      <c r="B463" s="10"/>
    </row>
    <row r="464" spans="1:2" ht="18.75" customHeight="1">
      <c r="A464" s="11"/>
      <c r="B464" s="10"/>
    </row>
    <row r="465" spans="1:2" ht="18.75" customHeight="1">
      <c r="A465" s="11"/>
      <c r="B465" s="10"/>
    </row>
    <row r="466" spans="1:2" ht="18.75" customHeight="1">
      <c r="A466" s="11"/>
      <c r="B466" s="10"/>
    </row>
    <row r="467" spans="1:2" ht="18.75" customHeight="1">
      <c r="A467" s="11"/>
      <c r="B467" s="10"/>
    </row>
    <row r="468" spans="1:2" ht="18.75" customHeight="1">
      <c r="A468" s="11"/>
      <c r="B468" s="10"/>
    </row>
    <row r="469" spans="1:2" ht="18.75" customHeight="1">
      <c r="A469" s="11"/>
      <c r="B469" s="10"/>
    </row>
    <row r="470" spans="1:2" ht="18.75" customHeight="1">
      <c r="A470" s="11"/>
      <c r="B470" s="10"/>
    </row>
    <row r="471" spans="1:2" ht="18.75" customHeight="1">
      <c r="A471" s="11"/>
      <c r="B471" s="10"/>
    </row>
    <row r="472" spans="1:2" ht="18.75" customHeight="1">
      <c r="A472" s="11"/>
      <c r="B472" s="10"/>
    </row>
    <row r="473" spans="1:2" ht="18.75" customHeight="1">
      <c r="A473" s="11"/>
      <c r="B473" s="10"/>
    </row>
    <row r="474" spans="1:2" ht="18.75" customHeight="1">
      <c r="A474" s="11"/>
      <c r="B474" s="10"/>
    </row>
    <row r="475" spans="1:2" ht="18.75" customHeight="1">
      <c r="A475" s="11"/>
      <c r="B475" s="10"/>
    </row>
    <row r="476" spans="1:2" ht="18.75" customHeight="1">
      <c r="A476" s="11"/>
      <c r="B476" s="10"/>
    </row>
    <row r="477" spans="1:2" ht="18.75" customHeight="1">
      <c r="A477" s="11"/>
      <c r="B477" s="10"/>
    </row>
    <row r="478" spans="1:2" ht="18.75" customHeight="1">
      <c r="A478" s="11"/>
      <c r="B478" s="10"/>
    </row>
    <row r="479" spans="1:2" ht="18.75" customHeight="1">
      <c r="A479" s="11"/>
      <c r="B479" s="10"/>
    </row>
    <row r="480" spans="1:2" ht="18.75" customHeight="1">
      <c r="A480" s="11"/>
      <c r="B480" s="10"/>
    </row>
    <row r="481" spans="1:2" ht="18.75" customHeight="1">
      <c r="A481" s="11"/>
      <c r="B481" s="10"/>
    </row>
    <row r="482" spans="1:2" ht="18.75" customHeight="1">
      <c r="A482" s="11"/>
      <c r="B482" s="10"/>
    </row>
    <row r="483" spans="1:2" ht="18.75" customHeight="1">
      <c r="A483" s="11"/>
      <c r="B483" s="10"/>
    </row>
    <row r="484" spans="1:2" ht="18.75" customHeight="1">
      <c r="A484" s="11"/>
      <c r="B484" s="10"/>
    </row>
    <row r="485" spans="1:2" ht="18.75" customHeight="1">
      <c r="A485" s="11"/>
      <c r="B485" s="10"/>
    </row>
    <row r="486" spans="1:2" ht="18.75" customHeight="1">
      <c r="A486" s="11"/>
      <c r="B486" s="10"/>
    </row>
    <row r="487" spans="1:2" ht="18.75" customHeight="1">
      <c r="A487" s="11"/>
      <c r="B487" s="10"/>
    </row>
    <row r="488" spans="1:2" ht="18.75" customHeight="1">
      <c r="A488" s="11"/>
      <c r="B488" s="10"/>
    </row>
    <row r="489" spans="1:2" ht="18.75" customHeight="1">
      <c r="A489" s="11"/>
      <c r="B489" s="10"/>
    </row>
    <row r="490" spans="1:2" ht="18.75" customHeight="1">
      <c r="A490" s="11"/>
      <c r="B490" s="10"/>
    </row>
    <row r="491" spans="1:2" ht="18.75" customHeight="1">
      <c r="A491" s="11"/>
      <c r="B491" s="10"/>
    </row>
    <row r="492" spans="1:2" ht="18.75" customHeight="1">
      <c r="A492" s="11"/>
      <c r="B492" s="10"/>
    </row>
    <row r="493" spans="1:2" ht="18.75" customHeight="1">
      <c r="A493" s="11"/>
      <c r="B493" s="10"/>
    </row>
    <row r="494" spans="1:2" ht="18.75" customHeight="1">
      <c r="A494" s="11"/>
      <c r="B494" s="10"/>
    </row>
    <row r="495" spans="1:2" ht="18.75" customHeight="1">
      <c r="A495" s="11"/>
      <c r="B495" s="10"/>
    </row>
    <row r="496" spans="1:2" ht="18.75" customHeight="1">
      <c r="A496" s="11"/>
      <c r="B496" s="10"/>
    </row>
    <row r="497" spans="1:2" ht="18.75" customHeight="1">
      <c r="A497" s="11"/>
      <c r="B497" s="10"/>
    </row>
    <row r="498" spans="1:2" ht="18.75" customHeight="1">
      <c r="A498" s="11"/>
      <c r="B498" s="10"/>
    </row>
    <row r="499" spans="1:2" ht="18.75" customHeight="1">
      <c r="A499" s="11"/>
      <c r="B499" s="10"/>
    </row>
    <row r="500" spans="1:2" ht="18.75" customHeight="1">
      <c r="A500" s="11"/>
      <c r="B500" s="10"/>
    </row>
    <row r="501" spans="1:2" ht="18.75" customHeight="1">
      <c r="A501" s="11"/>
      <c r="B501" s="10"/>
    </row>
    <row r="502" spans="1:2" ht="18.75" customHeight="1">
      <c r="A502" s="11"/>
      <c r="B502" s="10"/>
    </row>
    <row r="503" spans="1:2" ht="18.75" customHeight="1">
      <c r="A503" s="11"/>
      <c r="B503" s="10"/>
    </row>
    <row r="504" spans="1:2" ht="18.75" customHeight="1">
      <c r="A504" s="11"/>
      <c r="B504" s="10"/>
    </row>
    <row r="505" spans="1:2" ht="18.75" customHeight="1">
      <c r="A505" s="11"/>
      <c r="B505" s="10"/>
    </row>
    <row r="506" spans="1:2" ht="18.75" customHeight="1">
      <c r="A506" s="11"/>
      <c r="B506" s="10"/>
    </row>
    <row r="507" spans="1:2" ht="18.75" customHeight="1">
      <c r="A507" s="11"/>
      <c r="B507" s="10"/>
    </row>
    <row r="508" spans="1:2" ht="18.75" customHeight="1">
      <c r="A508" s="11"/>
      <c r="B508" s="10"/>
    </row>
    <row r="509" spans="1:2" ht="18.75" customHeight="1">
      <c r="A509" s="11"/>
      <c r="B509" s="10"/>
    </row>
    <row r="510" spans="1:2" ht="18.75" customHeight="1">
      <c r="A510" s="11"/>
      <c r="B510" s="10"/>
    </row>
    <row r="511" spans="1:2" ht="18.75" customHeight="1">
      <c r="A511" s="11"/>
      <c r="B511" s="10"/>
    </row>
    <row r="512" spans="1:2" ht="18.75" customHeight="1">
      <c r="A512" s="11"/>
      <c r="B512" s="10"/>
    </row>
    <row r="513" spans="1:2" ht="18.75" customHeight="1">
      <c r="A513" s="11"/>
      <c r="B513" s="10"/>
    </row>
    <row r="514" spans="1:2" ht="18.75" customHeight="1">
      <c r="A514" s="11"/>
      <c r="B514" s="10"/>
    </row>
    <row r="515" spans="1:2" ht="18.75" customHeight="1">
      <c r="A515" s="11"/>
      <c r="B515" s="10"/>
    </row>
    <row r="516" spans="1:2" ht="18.75" customHeight="1">
      <c r="A516" s="11"/>
      <c r="B516" s="10"/>
    </row>
    <row r="517" spans="1:2" ht="18.75" customHeight="1">
      <c r="A517" s="11"/>
      <c r="B517" s="10"/>
    </row>
    <row r="518" spans="1:2" ht="18.75" customHeight="1">
      <c r="A518" s="11"/>
      <c r="B518" s="10"/>
    </row>
    <row r="519" spans="1:2" ht="18.75" customHeight="1">
      <c r="A519" s="11"/>
      <c r="B519" s="10"/>
    </row>
    <row r="520" spans="1:2" ht="18.75" customHeight="1">
      <c r="A520" s="11"/>
      <c r="B520" s="10"/>
    </row>
    <row r="521" spans="1:2" ht="18.75" customHeight="1">
      <c r="A521" s="11"/>
      <c r="B521" s="10"/>
    </row>
    <row r="522" spans="1:2" ht="18.75" customHeight="1">
      <c r="A522" s="11"/>
      <c r="B522" s="10"/>
    </row>
    <row r="523" spans="1:2" ht="18.75" customHeight="1">
      <c r="A523" s="11"/>
      <c r="B523" s="10"/>
    </row>
    <row r="524" spans="1:2" ht="18.75" customHeight="1">
      <c r="A524" s="11"/>
      <c r="B524" s="10"/>
    </row>
    <row r="525" spans="1:2" ht="18.75" customHeight="1">
      <c r="A525" s="11"/>
      <c r="B525" s="10"/>
    </row>
    <row r="526" spans="1:2" ht="18.75" customHeight="1">
      <c r="A526" s="11"/>
      <c r="B526" s="10"/>
    </row>
    <row r="527" spans="1:2" ht="18.75" customHeight="1">
      <c r="A527" s="11"/>
      <c r="B527" s="10"/>
    </row>
    <row r="528" spans="1:2" ht="18.75" customHeight="1">
      <c r="A528" s="11"/>
      <c r="B528" s="10"/>
    </row>
    <row r="529" spans="1:2" ht="18.75" customHeight="1">
      <c r="A529" s="11"/>
      <c r="B529" s="10"/>
    </row>
    <row r="530" spans="1:2" ht="18.75" customHeight="1">
      <c r="A530" s="11"/>
      <c r="B530" s="10"/>
    </row>
    <row r="531" spans="1:2" ht="18.75" customHeight="1">
      <c r="A531" s="11"/>
      <c r="B531" s="10"/>
    </row>
    <row r="532" spans="1:2" ht="18.75" customHeight="1">
      <c r="A532" s="11"/>
      <c r="B532" s="10"/>
    </row>
    <row r="533" spans="1:2" ht="18.75" customHeight="1">
      <c r="A533" s="11"/>
      <c r="B533" s="10"/>
    </row>
    <row r="534" spans="1:2" ht="18.75" customHeight="1">
      <c r="A534" s="11"/>
      <c r="B534" s="10"/>
    </row>
    <row r="535" spans="1:2" ht="18.75" customHeight="1">
      <c r="A535" s="11"/>
      <c r="B535" s="10"/>
    </row>
    <row r="536" spans="1:2" ht="18.75" customHeight="1">
      <c r="A536" s="11"/>
      <c r="B536" s="10"/>
    </row>
    <row r="537" spans="1:2" ht="18.75" customHeight="1">
      <c r="A537" s="11"/>
      <c r="B537" s="10"/>
    </row>
    <row r="538" spans="1:2" ht="18.75" customHeight="1">
      <c r="A538" s="11"/>
      <c r="B538" s="10"/>
    </row>
    <row r="539" spans="1:2" ht="18.75" customHeight="1">
      <c r="A539" s="11"/>
      <c r="B539" s="10"/>
    </row>
    <row r="540" spans="1:2" ht="18.75" customHeight="1">
      <c r="A540" s="11"/>
      <c r="B540" s="10"/>
    </row>
    <row r="541" spans="1:2" ht="18.75" customHeight="1">
      <c r="A541" s="11"/>
      <c r="B541" s="10"/>
    </row>
    <row r="542" spans="1:2" ht="18.75" customHeight="1">
      <c r="A542" s="11"/>
      <c r="B542" s="10"/>
    </row>
    <row r="543" spans="1:2" ht="18.75" customHeight="1">
      <c r="A543" s="11"/>
      <c r="B543" s="10"/>
    </row>
    <row r="544" spans="1:2" ht="18.75" customHeight="1">
      <c r="A544" s="11"/>
      <c r="B544" s="10"/>
    </row>
    <row r="545" spans="1:2" ht="18.75" customHeight="1">
      <c r="A545" s="11"/>
      <c r="B545" s="10"/>
    </row>
    <row r="546" spans="1:2" ht="18.75" customHeight="1">
      <c r="A546" s="11"/>
      <c r="B546" s="10"/>
    </row>
    <row r="547" spans="1:2" ht="18.75" customHeight="1">
      <c r="A547" s="11"/>
      <c r="B547" s="10"/>
    </row>
    <row r="548" spans="1:2" ht="18.75" customHeight="1">
      <c r="A548" s="11"/>
      <c r="B548" s="10"/>
    </row>
    <row r="549" spans="1:2" ht="18.75" customHeight="1">
      <c r="A549" s="11"/>
      <c r="B549" s="10"/>
    </row>
    <row r="550" spans="1:2" ht="18.75" customHeight="1">
      <c r="A550" s="11"/>
      <c r="B550" s="10"/>
    </row>
    <row r="551" spans="1:2" ht="18.75" customHeight="1">
      <c r="A551" s="11"/>
      <c r="B551" s="10"/>
    </row>
    <row r="552" spans="1:2" ht="18.75" customHeight="1">
      <c r="A552" s="11"/>
      <c r="B552" s="10"/>
    </row>
    <row r="553" spans="1:2" ht="18.75" customHeight="1">
      <c r="A553" s="11"/>
      <c r="B553" s="10"/>
    </row>
    <row r="554" spans="1:2" ht="18.75" customHeight="1">
      <c r="A554" s="11"/>
      <c r="B554" s="10"/>
    </row>
    <row r="555" spans="1:2" ht="18.75" customHeight="1">
      <c r="A555" s="11"/>
      <c r="B555" s="10"/>
    </row>
    <row r="556" spans="1:2" ht="18.75" customHeight="1">
      <c r="A556" s="11"/>
      <c r="B556" s="10"/>
    </row>
    <row r="557" spans="1:2" ht="18.75" customHeight="1">
      <c r="A557" s="11"/>
      <c r="B557" s="10"/>
    </row>
    <row r="558" spans="1:2" ht="18.75" customHeight="1">
      <c r="A558" s="11"/>
      <c r="B558" s="10"/>
    </row>
    <row r="559" spans="1:2" ht="18.75" customHeight="1">
      <c r="A559" s="11"/>
      <c r="B559" s="10"/>
    </row>
    <row r="560" spans="1:2" ht="18.75" customHeight="1">
      <c r="A560" s="11"/>
      <c r="B560" s="10"/>
    </row>
    <row r="561" spans="1:2" ht="18.75" customHeight="1">
      <c r="A561" s="11"/>
      <c r="B561" s="10"/>
    </row>
    <row r="562" spans="1:2" ht="18.75" customHeight="1">
      <c r="A562" s="11"/>
      <c r="B562" s="10"/>
    </row>
    <row r="563" spans="1:2" ht="18.75" customHeight="1">
      <c r="A563" s="11"/>
      <c r="B563" s="10"/>
    </row>
    <row r="564" spans="1:2" ht="18.75" customHeight="1">
      <c r="A564" s="11"/>
      <c r="B564" s="10"/>
    </row>
    <row r="565" spans="1:2" ht="18.75" customHeight="1">
      <c r="A565" s="11"/>
      <c r="B565" s="10"/>
    </row>
    <row r="566" spans="1:2" ht="18.75" customHeight="1">
      <c r="A566" s="11"/>
      <c r="B566" s="10"/>
    </row>
    <row r="567" spans="1:2" ht="18.75" customHeight="1">
      <c r="A567" s="11"/>
      <c r="B567" s="10"/>
    </row>
    <row r="568" spans="1:2" ht="18.75" customHeight="1">
      <c r="A568" s="11"/>
      <c r="B568" s="10"/>
    </row>
    <row r="569" spans="1:2" ht="18.75" customHeight="1">
      <c r="A569" s="11"/>
      <c r="B569" s="10"/>
    </row>
    <row r="570" spans="1:2" ht="18.75" customHeight="1">
      <c r="A570" s="11"/>
      <c r="B570" s="10"/>
    </row>
    <row r="571" spans="1:2" ht="18.75" customHeight="1">
      <c r="A571" s="11"/>
      <c r="B571" s="10"/>
    </row>
    <row r="572" spans="1:2" ht="18.75" customHeight="1">
      <c r="A572" s="11"/>
      <c r="B572" s="10"/>
    </row>
    <row r="573" spans="1:2" ht="18.75" customHeight="1">
      <c r="A573" s="11"/>
      <c r="B573" s="10"/>
    </row>
    <row r="574" spans="1:2" ht="18.75" customHeight="1">
      <c r="A574" s="11"/>
      <c r="B574" s="10"/>
    </row>
    <row r="575" spans="1:2" ht="18.75" customHeight="1">
      <c r="A575" s="11"/>
      <c r="B575" s="10"/>
    </row>
    <row r="576" spans="1:2" ht="18.75" customHeight="1">
      <c r="A576" s="11"/>
      <c r="B576" s="10"/>
    </row>
    <row r="577" spans="1:2" ht="18.75" customHeight="1">
      <c r="A577" s="11"/>
      <c r="B577" s="10"/>
    </row>
    <row r="578" spans="1:2" ht="18.75" customHeight="1">
      <c r="A578" s="11"/>
      <c r="B578" s="10"/>
    </row>
    <row r="579" spans="1:2" ht="18.75" customHeight="1">
      <c r="A579" s="11"/>
      <c r="B579" s="10"/>
    </row>
    <row r="580" spans="1:2" ht="18.75" customHeight="1">
      <c r="A580" s="11"/>
      <c r="B580" s="10"/>
    </row>
    <row r="581" spans="1:2" ht="18.75" customHeight="1">
      <c r="A581" s="11"/>
      <c r="B581" s="10"/>
    </row>
    <row r="582" spans="1:2" ht="18.75" customHeight="1">
      <c r="A582" s="11"/>
      <c r="B582" s="10"/>
    </row>
    <row r="583" spans="1:2" ht="18.75" customHeight="1">
      <c r="A583" s="11"/>
      <c r="B583" s="10"/>
    </row>
    <row r="584" spans="1:2" ht="18.75" customHeight="1">
      <c r="A584" s="11"/>
      <c r="B584" s="10"/>
    </row>
    <row r="585" spans="1:2" ht="18.75" customHeight="1">
      <c r="A585" s="11"/>
      <c r="B585" s="10"/>
    </row>
    <row r="586" spans="1:2" ht="18.75" customHeight="1">
      <c r="A586" s="11"/>
      <c r="B586" s="10"/>
    </row>
    <row r="587" spans="1:2" ht="18.75" customHeight="1">
      <c r="A587" s="11"/>
      <c r="B587" s="10"/>
    </row>
    <row r="588" spans="1:2" ht="18.75" customHeight="1">
      <c r="A588" s="11"/>
      <c r="B588" s="10"/>
    </row>
    <row r="589" spans="1:2" ht="18.75" customHeight="1">
      <c r="A589" s="11"/>
      <c r="B589" s="10"/>
    </row>
    <row r="590" spans="1:2" ht="18.75" customHeight="1">
      <c r="A590" s="11"/>
      <c r="B590" s="10"/>
    </row>
    <row r="591" spans="1:2" ht="18.75" customHeight="1">
      <c r="A591" s="11"/>
      <c r="B591" s="10"/>
    </row>
    <row r="592" spans="1:2" ht="18.75" customHeight="1">
      <c r="A592" s="11"/>
      <c r="B592" s="10"/>
    </row>
    <row r="593" spans="1:2" ht="18.75" customHeight="1">
      <c r="A593" s="11"/>
      <c r="B593" s="10"/>
    </row>
    <row r="594" spans="1:2" ht="18.75" customHeight="1">
      <c r="A594" s="11"/>
      <c r="B594" s="10"/>
    </row>
    <row r="595" spans="1:2" ht="18.75" customHeight="1">
      <c r="A595" s="11"/>
      <c r="B595" s="10"/>
    </row>
    <row r="596" spans="1:2" ht="18.75" customHeight="1">
      <c r="A596" s="11"/>
      <c r="B596" s="10"/>
    </row>
    <row r="597" spans="1:2" ht="18.75" customHeight="1">
      <c r="A597" s="11"/>
      <c r="B597" s="10"/>
    </row>
    <row r="598" spans="1:2" ht="18.75" customHeight="1">
      <c r="A598" s="11"/>
      <c r="B598" s="10"/>
    </row>
    <row r="599" spans="1:2" ht="18.75" customHeight="1">
      <c r="A599" s="11"/>
      <c r="B599" s="10"/>
    </row>
    <row r="600" spans="1:2" ht="18.75" customHeight="1">
      <c r="A600" s="11"/>
      <c r="B600" s="10"/>
    </row>
    <row r="601" spans="1:2" ht="18.75" customHeight="1">
      <c r="A601" s="11"/>
      <c r="B601" s="10"/>
    </row>
    <row r="602" spans="1:2" ht="18.75" customHeight="1">
      <c r="A602" s="11"/>
      <c r="B602" s="10"/>
    </row>
    <row r="603" spans="1:2" ht="18.75" customHeight="1">
      <c r="A603" s="11"/>
      <c r="B603" s="10"/>
    </row>
    <row r="604" spans="1:2" ht="18.75" customHeight="1">
      <c r="A604" s="11"/>
      <c r="B604" s="10"/>
    </row>
    <row r="605" spans="1:2" ht="18.75" customHeight="1">
      <c r="A605" s="11"/>
      <c r="B605" s="10"/>
    </row>
    <row r="606" spans="1:2" ht="18.75" customHeight="1">
      <c r="A606" s="11"/>
      <c r="B606" s="10"/>
    </row>
    <row r="607" spans="1:2" ht="18.75" customHeight="1">
      <c r="A607" s="11"/>
      <c r="B607" s="10"/>
    </row>
    <row r="608" spans="1:2" ht="18.75" customHeight="1">
      <c r="A608" s="11"/>
      <c r="B608" s="10"/>
    </row>
    <row r="609" spans="1:2" ht="18.75" customHeight="1">
      <c r="A609" s="11"/>
      <c r="B609" s="10"/>
    </row>
    <row r="610" spans="1:2" ht="18.75" customHeight="1">
      <c r="A610" s="11"/>
      <c r="B610" s="10"/>
    </row>
    <row r="611" spans="1:2" ht="18.75" customHeight="1">
      <c r="A611" s="11"/>
      <c r="B611" s="10"/>
    </row>
    <row r="612" spans="1:2" ht="18.75" customHeight="1">
      <c r="A612" s="11"/>
      <c r="B612" s="10"/>
    </row>
    <row r="613" spans="1:2" ht="18.75" customHeight="1">
      <c r="A613" s="11"/>
      <c r="B613" s="10"/>
    </row>
    <row r="614" spans="1:2" ht="18.75" customHeight="1">
      <c r="A614" s="11"/>
      <c r="B614" s="10"/>
    </row>
    <row r="615" spans="1:2" ht="18.75" customHeight="1">
      <c r="A615" s="11"/>
      <c r="B615" s="10"/>
    </row>
    <row r="616" spans="1:2" ht="18.75" customHeight="1">
      <c r="A616" s="11"/>
      <c r="B616" s="10"/>
    </row>
    <row r="617" spans="1:2" ht="18.75" customHeight="1">
      <c r="A617" s="11"/>
      <c r="B617" s="10"/>
    </row>
    <row r="618" spans="1:2" ht="18.75" customHeight="1">
      <c r="A618" s="11"/>
      <c r="B618" s="10"/>
    </row>
    <row r="619" spans="1:2" ht="18.75" customHeight="1">
      <c r="A619" s="11"/>
      <c r="B619" s="10"/>
    </row>
    <row r="620" spans="1:2" ht="18.75" customHeight="1">
      <c r="A620" s="11"/>
      <c r="B620" s="10"/>
    </row>
    <row r="621" spans="1:2" ht="18.75" customHeight="1">
      <c r="A621" s="11"/>
      <c r="B621" s="10"/>
    </row>
    <row r="622" spans="1:2" ht="18.75" customHeight="1">
      <c r="A622" s="11"/>
      <c r="B622" s="10"/>
    </row>
    <row r="623" spans="1:2" ht="18.75" customHeight="1">
      <c r="A623" s="11"/>
      <c r="B623" s="10"/>
    </row>
    <row r="624" spans="1:2" ht="18.75" customHeight="1">
      <c r="A624" s="11"/>
      <c r="B624" s="10"/>
    </row>
    <row r="625" spans="1:2" ht="18.75" customHeight="1">
      <c r="A625" s="11"/>
      <c r="B625" s="10"/>
    </row>
    <row r="626" spans="1:2" ht="18.75" customHeight="1">
      <c r="A626" s="11"/>
      <c r="B626" s="10"/>
    </row>
    <row r="627" spans="1:2" ht="18.75" customHeight="1">
      <c r="A627" s="11"/>
      <c r="B627" s="10"/>
    </row>
    <row r="628" spans="1:2" ht="18.75" customHeight="1">
      <c r="A628" s="11"/>
      <c r="B628" s="10"/>
    </row>
    <row r="629" spans="1:2" ht="18.75" customHeight="1">
      <c r="A629" s="11"/>
      <c r="B629" s="10"/>
    </row>
    <row r="630" spans="1:2" ht="18.75" customHeight="1">
      <c r="A630" s="11"/>
      <c r="B630" s="10"/>
    </row>
    <row r="631" spans="1:2" ht="18.75" customHeight="1">
      <c r="A631" s="11"/>
      <c r="B631" s="10"/>
    </row>
    <row r="632" spans="1:2" ht="18.75" customHeight="1">
      <c r="A632" s="11"/>
      <c r="B632" s="10"/>
    </row>
    <row r="633" spans="1:2" ht="18.75" customHeight="1">
      <c r="A633" s="11"/>
      <c r="B633" s="10"/>
    </row>
    <row r="634" spans="1:2" ht="18.75" customHeight="1">
      <c r="A634" s="11"/>
      <c r="B634" s="10"/>
    </row>
    <row r="635" spans="1:2" ht="18.75" customHeight="1">
      <c r="A635" s="11"/>
      <c r="B635" s="10"/>
    </row>
    <row r="636" spans="1:2" ht="18.75" customHeight="1">
      <c r="A636" s="11"/>
      <c r="B636" s="10"/>
    </row>
    <row r="637" spans="1:2" ht="18.75" customHeight="1">
      <c r="A637" s="11"/>
      <c r="B637" s="10"/>
    </row>
    <row r="638" spans="1:2" ht="18.75" customHeight="1">
      <c r="A638" s="11"/>
      <c r="B638" s="10"/>
    </row>
    <row r="639" spans="1:2" ht="18.75" customHeight="1">
      <c r="A639" s="11"/>
      <c r="B639" s="10"/>
    </row>
    <row r="640" spans="1:2" ht="18.75" customHeight="1">
      <c r="A640" s="11"/>
      <c r="B640" s="10"/>
    </row>
    <row r="641" spans="1:2" ht="18.75" customHeight="1">
      <c r="A641" s="11"/>
      <c r="B641" s="10"/>
    </row>
    <row r="642" spans="1:2" ht="18.75" customHeight="1">
      <c r="A642" s="11"/>
      <c r="B642" s="10"/>
    </row>
    <row r="643" spans="1:2" ht="18.75" customHeight="1">
      <c r="A643" s="11"/>
      <c r="B643" s="10"/>
    </row>
    <row r="644" spans="1:2" ht="18.75" customHeight="1">
      <c r="A644" s="11"/>
      <c r="B644" s="10"/>
    </row>
    <row r="645" spans="1:2" ht="18.75" customHeight="1">
      <c r="A645" s="11"/>
      <c r="B645" s="10"/>
    </row>
    <row r="646" spans="1:2" ht="18.75" customHeight="1">
      <c r="A646" s="11"/>
      <c r="B646" s="10"/>
    </row>
    <row r="647" spans="1:2" ht="18.75" customHeight="1">
      <c r="A647" s="11"/>
      <c r="B647" s="10"/>
    </row>
    <row r="648" spans="1:2" ht="18.75" customHeight="1">
      <c r="A648" s="11"/>
      <c r="B648" s="10"/>
    </row>
    <row r="649" spans="1:2" ht="18.75" customHeight="1">
      <c r="A649" s="11"/>
      <c r="B649" s="10"/>
    </row>
    <row r="650" spans="1:2" ht="18.75" customHeight="1">
      <c r="A650" s="11"/>
      <c r="B650" s="10"/>
    </row>
    <row r="651" spans="1:2" ht="18.75" customHeight="1">
      <c r="A651" s="11"/>
      <c r="B651" s="10"/>
    </row>
    <row r="652" spans="1:2" ht="18.75" customHeight="1">
      <c r="A652" s="11"/>
      <c r="B652" s="10"/>
    </row>
    <row r="653" spans="1:2" ht="18.75" customHeight="1">
      <c r="A653" s="11"/>
      <c r="B653" s="10"/>
    </row>
    <row r="654" spans="1:2" ht="18.75" customHeight="1">
      <c r="A654" s="11"/>
      <c r="B654" s="10"/>
    </row>
    <row r="655" spans="1:2" ht="18.75" customHeight="1">
      <c r="A655" s="11"/>
      <c r="B655" s="10"/>
    </row>
    <row r="656" spans="1:2" ht="18.75" customHeight="1">
      <c r="A656" s="11"/>
      <c r="B656" s="10"/>
    </row>
    <row r="657" spans="1:2" ht="18.75" customHeight="1">
      <c r="A657" s="11"/>
      <c r="B657" s="10"/>
    </row>
    <row r="658" spans="1:2" ht="18.75" customHeight="1">
      <c r="A658" s="11"/>
      <c r="B658" s="10"/>
    </row>
    <row r="659" spans="1:2" ht="18.75" customHeight="1">
      <c r="A659" s="11"/>
      <c r="B659" s="10"/>
    </row>
    <row r="660" spans="1:2" ht="18.75" customHeight="1">
      <c r="A660" s="11"/>
      <c r="B660" s="10"/>
    </row>
    <row r="661" spans="1:2" ht="18.75" customHeight="1">
      <c r="A661" s="11"/>
      <c r="B661" s="10"/>
    </row>
    <row r="662" spans="1:2" ht="18.75" customHeight="1">
      <c r="A662" s="11"/>
      <c r="B662" s="10"/>
    </row>
    <row r="663" spans="1:2" ht="18.75" customHeight="1">
      <c r="A663" s="11"/>
      <c r="B663" s="10"/>
    </row>
    <row r="664" spans="1:2" ht="18.75" customHeight="1">
      <c r="A664" s="11"/>
      <c r="B664" s="10"/>
    </row>
    <row r="665" spans="1:2" ht="18.75" customHeight="1">
      <c r="A665" s="11"/>
      <c r="B665" s="10"/>
    </row>
    <row r="666" spans="1:2" ht="18.75" customHeight="1">
      <c r="A666" s="11"/>
      <c r="B666" s="10"/>
    </row>
    <row r="667" spans="1:2" ht="18.75" customHeight="1">
      <c r="A667" s="11"/>
      <c r="B667" s="10"/>
    </row>
    <row r="668" spans="1:2" ht="18.75" customHeight="1">
      <c r="A668" s="11"/>
      <c r="B668" s="10"/>
    </row>
    <row r="669" spans="1:2" ht="18.75" customHeight="1">
      <c r="A669" s="11"/>
      <c r="B669" s="10"/>
    </row>
    <row r="670" spans="1:2" ht="18.75" customHeight="1">
      <c r="A670" s="11"/>
      <c r="B670" s="10"/>
    </row>
    <row r="671" spans="1:2" ht="18.75" customHeight="1">
      <c r="A671" s="11"/>
      <c r="B671" s="10"/>
    </row>
    <row r="672" spans="1:2" ht="18.75" customHeight="1">
      <c r="A672" s="11"/>
      <c r="B672" s="10"/>
    </row>
    <row r="673" spans="1:2" ht="18.75" customHeight="1">
      <c r="A673" s="11"/>
      <c r="B673" s="10"/>
    </row>
    <row r="674" spans="1:2" ht="18.75" customHeight="1">
      <c r="A674" s="11"/>
      <c r="B674" s="10"/>
    </row>
    <row r="675" spans="1:2" ht="18.75" customHeight="1">
      <c r="A675" s="11"/>
      <c r="B675" s="10"/>
    </row>
    <row r="676" spans="1:2" ht="18.75" customHeight="1">
      <c r="A676" s="11"/>
      <c r="B676" s="10"/>
    </row>
    <row r="677" spans="1:2" ht="18.75" customHeight="1">
      <c r="A677" s="11"/>
      <c r="B677" s="10"/>
    </row>
    <row r="678" spans="1:2" ht="18.75" customHeight="1">
      <c r="A678" s="11"/>
      <c r="B678" s="10"/>
    </row>
    <row r="679" spans="1:2" ht="18.75" customHeight="1">
      <c r="A679" s="11"/>
      <c r="B679" s="10"/>
    </row>
    <row r="680" spans="1:2" ht="18.75" customHeight="1">
      <c r="A680" s="11"/>
      <c r="B680" s="10"/>
    </row>
    <row r="681" spans="1:2" ht="18.75" customHeight="1">
      <c r="A681" s="11"/>
      <c r="B681" s="10"/>
    </row>
    <row r="682" spans="1:2" ht="18.75" customHeight="1">
      <c r="A682" s="11"/>
      <c r="B682" s="10"/>
    </row>
    <row r="683" spans="1:2" ht="18.75" customHeight="1">
      <c r="A683" s="11"/>
      <c r="B683" s="10"/>
    </row>
    <row r="684" spans="1:2" ht="18.75" customHeight="1">
      <c r="A684" s="11"/>
      <c r="B684" s="10"/>
    </row>
    <row r="685" spans="1:2" ht="18.75" customHeight="1">
      <c r="A685" s="11"/>
      <c r="B685" s="10"/>
    </row>
    <row r="686" spans="1:2" ht="18.75" customHeight="1">
      <c r="A686" s="11"/>
      <c r="B686" s="10"/>
    </row>
    <row r="687" spans="1:2" ht="18.75" customHeight="1">
      <c r="A687" s="11"/>
      <c r="B687" s="10"/>
    </row>
    <row r="688" spans="1:2" ht="18.75" customHeight="1">
      <c r="A688" s="11"/>
      <c r="B688" s="10"/>
    </row>
    <row r="689" spans="1:2" ht="18.75" customHeight="1">
      <c r="A689" s="11"/>
      <c r="B689" s="10"/>
    </row>
    <row r="690" spans="1:2" ht="18.75" customHeight="1">
      <c r="A690" s="11"/>
      <c r="B690" s="10"/>
    </row>
    <row r="691" spans="1:2" ht="18.75" customHeight="1">
      <c r="A691" s="11"/>
      <c r="B691" s="10"/>
    </row>
    <row r="692" spans="1:2" ht="18.75" customHeight="1">
      <c r="A692" s="11"/>
      <c r="B692" s="10"/>
    </row>
    <row r="693" spans="1:2" ht="18.75" customHeight="1">
      <c r="A693" s="11"/>
      <c r="B693" s="10"/>
    </row>
    <row r="694" spans="1:2" ht="18.75" customHeight="1">
      <c r="A694" s="11"/>
      <c r="B694" s="10"/>
    </row>
    <row r="695" spans="1:2" ht="18.75" customHeight="1">
      <c r="A695" s="11"/>
      <c r="B695" s="10"/>
    </row>
    <row r="696" spans="1:2" ht="18.75" customHeight="1">
      <c r="A696" s="11"/>
      <c r="B696" s="10"/>
    </row>
    <row r="697" spans="1:2" ht="18.75" customHeight="1">
      <c r="A697" s="11"/>
      <c r="B697" s="10"/>
    </row>
    <row r="698" spans="1:2" ht="18.75" customHeight="1">
      <c r="A698" s="11"/>
      <c r="B698" s="10"/>
    </row>
    <row r="699" spans="1:2" ht="18.75" customHeight="1">
      <c r="A699" s="11"/>
      <c r="B699" s="10"/>
    </row>
    <row r="700" spans="1:2" ht="18.75" customHeight="1">
      <c r="A700" s="11"/>
      <c r="B700" s="10"/>
    </row>
    <row r="701" spans="1:2" ht="18.75" customHeight="1">
      <c r="A701" s="11"/>
      <c r="B701" s="10"/>
    </row>
    <row r="702" spans="1:2" ht="18.75" customHeight="1">
      <c r="A702" s="11"/>
      <c r="B702" s="10"/>
    </row>
    <row r="703" spans="1:2" ht="18.75" customHeight="1">
      <c r="A703" s="11"/>
      <c r="B703" s="10"/>
    </row>
    <row r="704" spans="1:2" ht="18.75" customHeight="1">
      <c r="A704" s="11"/>
      <c r="B704" s="10"/>
    </row>
    <row r="705" spans="1:2" ht="18.75" customHeight="1">
      <c r="A705" s="11"/>
      <c r="B705" s="10"/>
    </row>
    <row r="706" spans="1:2" ht="18.75" customHeight="1">
      <c r="A706" s="11"/>
      <c r="B706" s="10"/>
    </row>
    <row r="707" spans="1:2" ht="18.75" customHeight="1">
      <c r="A707" s="11"/>
      <c r="B707" s="10"/>
    </row>
    <row r="708" spans="1:2" ht="18.75" customHeight="1">
      <c r="A708" s="11"/>
      <c r="B708" s="10"/>
    </row>
    <row r="709" spans="1:2" ht="18.75" customHeight="1">
      <c r="A709" s="11"/>
      <c r="B709" s="10"/>
    </row>
    <row r="710" spans="1:2" ht="18.75" customHeight="1">
      <c r="A710" s="11"/>
      <c r="B710" s="10"/>
    </row>
    <row r="711" spans="1:2" ht="18.75" customHeight="1">
      <c r="A711" s="11"/>
      <c r="B711" s="10"/>
    </row>
    <row r="712" spans="1:2" ht="18.75" customHeight="1">
      <c r="A712" s="11"/>
      <c r="B712" s="10"/>
    </row>
    <row r="713" spans="1:2" ht="18.75" customHeight="1">
      <c r="A713" s="11"/>
      <c r="B713" s="10"/>
    </row>
    <row r="714" spans="1:2" ht="18.75" customHeight="1">
      <c r="A714" s="11"/>
      <c r="B714" s="10"/>
    </row>
    <row r="715" spans="1:2" ht="18.75" customHeight="1">
      <c r="A715" s="11"/>
      <c r="B715" s="10"/>
    </row>
    <row r="716" spans="1:2" ht="18.75" customHeight="1">
      <c r="A716" s="11"/>
      <c r="B716" s="10"/>
    </row>
    <row r="717" spans="1:2" ht="18.75" customHeight="1">
      <c r="A717" s="11"/>
      <c r="B717" s="10"/>
    </row>
    <row r="718" spans="1:2" ht="18.75" customHeight="1">
      <c r="A718" s="11"/>
      <c r="B718" s="10"/>
    </row>
    <row r="719" spans="1:2" ht="18.75" customHeight="1">
      <c r="A719" s="11"/>
      <c r="B719" s="10"/>
    </row>
    <row r="720" spans="1:2" ht="18.75" customHeight="1">
      <c r="A720" s="11"/>
      <c r="B720" s="10"/>
    </row>
    <row r="721" spans="1:2" ht="18.75" customHeight="1">
      <c r="A721" s="11"/>
      <c r="B721" s="10"/>
    </row>
    <row r="722" spans="1:2" ht="18.75" customHeight="1">
      <c r="A722" s="11"/>
      <c r="B722" s="10"/>
    </row>
    <row r="723" spans="1:2" ht="18.75" customHeight="1">
      <c r="A723" s="11"/>
      <c r="B723" s="10"/>
    </row>
    <row r="724" spans="1:2" ht="18.75" customHeight="1">
      <c r="A724" s="11"/>
      <c r="B724" s="10"/>
    </row>
    <row r="725" spans="1:2" ht="18.75" customHeight="1">
      <c r="A725" s="11"/>
      <c r="B725" s="10"/>
    </row>
    <row r="726" spans="1:2" ht="18.75" customHeight="1">
      <c r="A726" s="11"/>
      <c r="B726" s="10"/>
    </row>
    <row r="727" spans="1:2" ht="18.75" customHeight="1">
      <c r="A727" s="11"/>
      <c r="B727" s="10"/>
    </row>
    <row r="728" spans="1:2" ht="18.75" customHeight="1">
      <c r="A728" s="11"/>
      <c r="B728" s="10"/>
    </row>
    <row r="729" spans="1:2" ht="18.75" customHeight="1">
      <c r="A729" s="11"/>
      <c r="B729" s="10"/>
    </row>
    <row r="730" spans="1:2" ht="18.75" customHeight="1">
      <c r="A730" s="11"/>
      <c r="B730" s="10"/>
    </row>
    <row r="731" spans="1:2" ht="18.75" customHeight="1">
      <c r="A731" s="11"/>
      <c r="B731" s="10"/>
    </row>
    <row r="732" spans="1:2" ht="18.75" customHeight="1">
      <c r="A732" s="11"/>
      <c r="B732" s="10"/>
    </row>
    <row r="733" spans="1:2" ht="18.75" customHeight="1">
      <c r="A733" s="11"/>
      <c r="B733" s="10"/>
    </row>
    <row r="734" spans="1:2" ht="18.75" customHeight="1">
      <c r="A734" s="11"/>
      <c r="B734" s="10"/>
    </row>
    <row r="735" spans="1:2" ht="18.75" customHeight="1">
      <c r="A735" s="11"/>
      <c r="B735" s="10"/>
    </row>
    <row r="736" spans="1:2" ht="18.75" customHeight="1">
      <c r="A736" s="11"/>
      <c r="B736" s="10"/>
    </row>
    <row r="737" spans="1:2" ht="18.75" customHeight="1">
      <c r="A737" s="11"/>
      <c r="B737" s="10"/>
    </row>
    <row r="738" spans="1:2" ht="18.75" customHeight="1">
      <c r="A738" s="11"/>
      <c r="B738" s="10"/>
    </row>
    <row r="739" spans="1:2" ht="18.75" customHeight="1">
      <c r="A739" s="11"/>
      <c r="B739" s="10"/>
    </row>
    <row r="740" spans="1:2" ht="18.75" customHeight="1">
      <c r="A740" s="11"/>
      <c r="B740" s="10"/>
    </row>
    <row r="741" spans="1:2" ht="18.75" customHeight="1">
      <c r="A741" s="11"/>
      <c r="B741" s="10"/>
    </row>
    <row r="742" spans="1:2" ht="18.75" customHeight="1">
      <c r="A742" s="11"/>
      <c r="B742" s="10"/>
    </row>
    <row r="743" spans="1:2" ht="18.75" customHeight="1">
      <c r="A743" s="11"/>
      <c r="B743" s="10"/>
    </row>
    <row r="744" spans="1:2" ht="18.75" customHeight="1">
      <c r="A744" s="11"/>
      <c r="B744" s="10"/>
    </row>
    <row r="745" spans="1:2" ht="18.75" customHeight="1">
      <c r="A745" s="11"/>
      <c r="B745" s="10"/>
    </row>
    <row r="746" spans="1:2" ht="18.75" customHeight="1">
      <c r="A746" s="11"/>
      <c r="B746" s="10"/>
    </row>
    <row r="747" spans="1:2" ht="18.75" customHeight="1">
      <c r="A747" s="11"/>
      <c r="B747" s="10"/>
    </row>
    <row r="748" spans="1:2" ht="18.75" customHeight="1">
      <c r="A748" s="11"/>
      <c r="B748" s="10"/>
    </row>
    <row r="749" spans="1:2" ht="18.75" customHeight="1">
      <c r="A749" s="11"/>
      <c r="B749" s="10"/>
    </row>
    <row r="750" spans="1:2" ht="18.75" customHeight="1">
      <c r="A750" s="11"/>
      <c r="B750" s="10"/>
    </row>
    <row r="751" spans="1:2" ht="18.75" customHeight="1">
      <c r="A751" s="11"/>
      <c r="B751" s="10"/>
    </row>
    <row r="752" spans="1:2" ht="18.75" customHeight="1">
      <c r="A752" s="11"/>
      <c r="B752" s="10"/>
    </row>
    <row r="753" spans="1:2" ht="18.75" customHeight="1">
      <c r="A753" s="11"/>
      <c r="B753" s="10"/>
    </row>
    <row r="754" spans="1:2" ht="18.75" customHeight="1">
      <c r="A754" s="11"/>
      <c r="B754" s="10"/>
    </row>
    <row r="755" spans="1:2" ht="18.75" customHeight="1">
      <c r="A755" s="11"/>
      <c r="B755" s="10"/>
    </row>
    <row r="756" spans="1:2" ht="18.75" customHeight="1">
      <c r="A756" s="11"/>
      <c r="B756" s="10"/>
    </row>
    <row r="757" spans="1:2" ht="18.75" customHeight="1">
      <c r="A757" s="11"/>
      <c r="B757" s="10"/>
    </row>
    <row r="758" spans="1:2" ht="18.75" customHeight="1">
      <c r="A758" s="11"/>
      <c r="B758" s="10"/>
    </row>
    <row r="759" spans="1:2" ht="18.75" customHeight="1">
      <c r="A759" s="11"/>
      <c r="B759" s="10"/>
    </row>
    <row r="760" spans="1:2" ht="18.75" customHeight="1">
      <c r="A760" s="11"/>
      <c r="B760" s="10"/>
    </row>
    <row r="761" spans="1:2" ht="18.75" customHeight="1">
      <c r="A761" s="11"/>
      <c r="B761" s="10"/>
    </row>
    <row r="762" spans="1:2" ht="18.75" customHeight="1">
      <c r="A762" s="11"/>
      <c r="B762" s="10"/>
    </row>
    <row r="763" spans="1:2" ht="18.75" customHeight="1">
      <c r="A763" s="11"/>
      <c r="B763" s="10"/>
    </row>
    <row r="764" spans="1:2" ht="18.75" customHeight="1">
      <c r="A764" s="11"/>
      <c r="B764" s="10"/>
    </row>
    <row r="765" spans="1:2" ht="18.75" customHeight="1">
      <c r="A765" s="11"/>
      <c r="B765" s="10"/>
    </row>
    <row r="766" spans="1:2" ht="18.75" customHeight="1">
      <c r="A766" s="11"/>
      <c r="B766" s="10"/>
    </row>
    <row r="767" spans="1:2" ht="18.75" customHeight="1">
      <c r="A767" s="11"/>
      <c r="B767" s="10"/>
    </row>
    <row r="768" spans="1:2" ht="18.75" customHeight="1">
      <c r="A768" s="11"/>
      <c r="B768" s="10"/>
    </row>
    <row r="769" spans="1:2" ht="18.75" customHeight="1">
      <c r="A769" s="11"/>
      <c r="B769" s="10"/>
    </row>
    <row r="770" spans="1:2" ht="18.75" customHeight="1">
      <c r="A770" s="11"/>
      <c r="B770" s="10"/>
    </row>
    <row r="771" spans="1:2" ht="18.75" customHeight="1">
      <c r="A771" s="11"/>
      <c r="B771" s="10"/>
    </row>
    <row r="772" spans="1:2" ht="18.75" customHeight="1">
      <c r="A772" s="11"/>
      <c r="B772" s="10"/>
    </row>
    <row r="773" spans="1:2" ht="18.75" customHeight="1">
      <c r="A773" s="11"/>
      <c r="B773" s="10"/>
    </row>
    <row r="774" spans="1:2" ht="18.75" customHeight="1">
      <c r="A774" s="11"/>
      <c r="B774" s="10"/>
    </row>
    <row r="775" spans="1:2" ht="18.75" customHeight="1">
      <c r="A775" s="11"/>
      <c r="B775" s="10"/>
    </row>
    <row r="776" spans="1:2" ht="18.75" customHeight="1">
      <c r="A776" s="11"/>
      <c r="B776" s="10"/>
    </row>
    <row r="777" spans="1:2" ht="18.75" customHeight="1">
      <c r="A777" s="11"/>
      <c r="B777" s="10"/>
    </row>
    <row r="778" spans="1:2" ht="18.75" customHeight="1">
      <c r="A778" s="11"/>
      <c r="B778" s="10"/>
    </row>
    <row r="779" spans="1:2" ht="18.75" customHeight="1">
      <c r="A779" s="11"/>
      <c r="B779" s="10"/>
    </row>
    <row r="780" spans="1:2" ht="18.75" customHeight="1">
      <c r="A780" s="11"/>
      <c r="B780" s="10"/>
    </row>
    <row r="781" spans="1:2" ht="18.75" customHeight="1">
      <c r="A781" s="11"/>
      <c r="B781" s="10"/>
    </row>
    <row r="782" spans="1:2" ht="18.75" customHeight="1">
      <c r="A782" s="11"/>
      <c r="B782" s="10"/>
    </row>
    <row r="783" spans="1:2" ht="18.75" customHeight="1">
      <c r="A783" s="11"/>
      <c r="B783" s="10"/>
    </row>
    <row r="784" spans="1:2" ht="18.75" customHeight="1">
      <c r="A784" s="11"/>
      <c r="B784" s="10"/>
    </row>
    <row r="785" spans="1:2" ht="18.75" customHeight="1">
      <c r="A785" s="11"/>
      <c r="B785" s="10"/>
    </row>
    <row r="786" spans="1:2" ht="18.75" customHeight="1">
      <c r="A786" s="11"/>
      <c r="B786" s="10"/>
    </row>
    <row r="787" spans="1:2" ht="18.75" customHeight="1">
      <c r="A787" s="11"/>
      <c r="B787" s="10"/>
    </row>
    <row r="788" spans="1:2" ht="18.75" customHeight="1">
      <c r="A788" s="11"/>
      <c r="B788" s="10"/>
    </row>
    <row r="789" spans="1:2" ht="18.75" customHeight="1">
      <c r="A789" s="11"/>
      <c r="B789" s="10"/>
    </row>
    <row r="790" spans="1:2" ht="18.75" customHeight="1">
      <c r="A790" s="11"/>
      <c r="B790" s="10"/>
    </row>
    <row r="791" spans="1:2" ht="18.75" customHeight="1">
      <c r="A791" s="11"/>
      <c r="B791" s="10"/>
    </row>
    <row r="792" spans="1:2" ht="18.75" customHeight="1">
      <c r="A792" s="11"/>
      <c r="B792" s="10"/>
    </row>
    <row r="793" spans="1:2" ht="18.75" customHeight="1">
      <c r="A793" s="11"/>
      <c r="B793" s="10"/>
    </row>
    <row r="794" spans="1:2" ht="18.75" customHeight="1">
      <c r="A794" s="11"/>
      <c r="B794" s="10"/>
    </row>
    <row r="795" spans="1:2" ht="18.75" customHeight="1">
      <c r="A795" s="11"/>
      <c r="B795" s="10"/>
    </row>
    <row r="796" spans="1:2" ht="18.75" customHeight="1">
      <c r="A796" s="11"/>
      <c r="B796" s="10"/>
    </row>
    <row r="797" spans="1:2" ht="18.75" customHeight="1">
      <c r="A797" s="11"/>
      <c r="B797" s="10"/>
    </row>
    <row r="798" spans="1:2" ht="18.75" customHeight="1">
      <c r="A798" s="11"/>
      <c r="B798" s="10"/>
    </row>
    <row r="799" spans="1:2" ht="18.75" customHeight="1">
      <c r="A799" s="11"/>
      <c r="B799" s="10"/>
    </row>
    <row r="800" spans="1:2" ht="18.75" customHeight="1">
      <c r="A800" s="11"/>
      <c r="B800" s="10"/>
    </row>
    <row r="801" spans="1:2" ht="18.75" customHeight="1">
      <c r="A801" s="11"/>
      <c r="B801" s="10"/>
    </row>
    <row r="802" spans="1:2" ht="18.75" customHeight="1">
      <c r="A802" s="11"/>
      <c r="B802" s="10"/>
    </row>
    <row r="803" spans="1:2" ht="18.75" customHeight="1">
      <c r="A803" s="11"/>
      <c r="B803" s="10"/>
    </row>
    <row r="804" spans="1:2" ht="18.75" customHeight="1">
      <c r="A804" s="11"/>
      <c r="B804" s="10"/>
    </row>
    <row r="805" spans="1:2" ht="18.75" customHeight="1">
      <c r="A805" s="11"/>
      <c r="B805" s="10"/>
    </row>
    <row r="806" spans="1:2" ht="18.75" customHeight="1">
      <c r="A806" s="11"/>
      <c r="B806" s="10"/>
    </row>
    <row r="807" spans="1:2" ht="18.75" customHeight="1">
      <c r="A807" s="11"/>
      <c r="B807" s="10"/>
    </row>
    <row r="808" spans="1:2" ht="18.75" customHeight="1">
      <c r="A808" s="11"/>
      <c r="B808" s="10"/>
    </row>
    <row r="809" spans="1:2" ht="18.75" customHeight="1">
      <c r="A809" s="11"/>
      <c r="B809" s="10"/>
    </row>
    <row r="810" spans="1:2" ht="18.75" customHeight="1">
      <c r="A810" s="11"/>
      <c r="B810" s="10"/>
    </row>
    <row r="811" spans="1:2" ht="18.75" customHeight="1">
      <c r="A811" s="11"/>
      <c r="B811" s="10"/>
    </row>
    <row r="812" spans="1:2" ht="18.75" customHeight="1">
      <c r="A812" s="11"/>
      <c r="B812" s="10"/>
    </row>
    <row r="813" spans="1:2" ht="18.75" customHeight="1">
      <c r="A813" s="11"/>
      <c r="B813" s="10"/>
    </row>
    <row r="814" spans="1:2" ht="18.75" customHeight="1">
      <c r="A814" s="11"/>
      <c r="B814" s="10"/>
    </row>
    <row r="815" spans="1:2" ht="18.75" customHeight="1">
      <c r="A815" s="11"/>
      <c r="B815" s="10"/>
    </row>
    <row r="816" spans="1:2" ht="18.75" customHeight="1">
      <c r="A816" s="11"/>
      <c r="B816" s="10"/>
    </row>
    <row r="817" spans="1:2" ht="18.75" customHeight="1">
      <c r="A817" s="11"/>
      <c r="B817" s="10"/>
    </row>
    <row r="818" spans="1:2" ht="18.75" customHeight="1">
      <c r="A818" s="11"/>
      <c r="B818" s="10"/>
    </row>
    <row r="819" spans="1:2" ht="18.75" customHeight="1">
      <c r="A819" s="11"/>
      <c r="B819" s="10"/>
    </row>
    <row r="820" spans="1:2" ht="18.75" customHeight="1">
      <c r="A820" s="11"/>
      <c r="B820" s="10"/>
    </row>
    <row r="821" spans="1:2" ht="18.75" customHeight="1">
      <c r="A821" s="11"/>
      <c r="B821" s="10"/>
    </row>
    <row r="822" spans="1:2" ht="18.75" customHeight="1">
      <c r="A822" s="11"/>
      <c r="B822" s="10"/>
    </row>
    <row r="823" spans="1:2" ht="18.75" customHeight="1">
      <c r="A823" s="11"/>
      <c r="B823" s="10"/>
    </row>
    <row r="824" spans="1:2" ht="18.75" customHeight="1">
      <c r="A824" s="11"/>
      <c r="B824" s="10"/>
    </row>
    <row r="825" spans="1:2" ht="18.75" customHeight="1">
      <c r="A825" s="11"/>
      <c r="B825" s="10"/>
    </row>
    <row r="826" spans="1:2" ht="18.75" customHeight="1">
      <c r="A826" s="11"/>
      <c r="B826" s="10"/>
    </row>
    <row r="827" spans="1:2" ht="18.75" customHeight="1">
      <c r="A827" s="11"/>
      <c r="B827" s="10"/>
    </row>
    <row r="828" spans="1:2" ht="18.75" customHeight="1">
      <c r="A828" s="11"/>
      <c r="B828" s="10"/>
    </row>
    <row r="829" spans="1:2" ht="18.75" customHeight="1">
      <c r="A829" s="11"/>
      <c r="B829" s="10"/>
    </row>
    <row r="830" spans="1:2" ht="18.75" customHeight="1">
      <c r="A830" s="11"/>
      <c r="B830" s="10"/>
    </row>
    <row r="831" spans="1:2" ht="18.75" customHeight="1">
      <c r="A831" s="11"/>
      <c r="B831" s="10"/>
    </row>
    <row r="832" spans="1:2" ht="18.75" customHeight="1">
      <c r="A832" s="11"/>
      <c r="B832" s="10"/>
    </row>
    <row r="833" spans="1:2" ht="18.75" customHeight="1">
      <c r="A833" s="11"/>
      <c r="B833" s="10"/>
    </row>
    <row r="834" spans="1:2" ht="18.75" customHeight="1">
      <c r="A834" s="11"/>
      <c r="B834" s="10"/>
    </row>
    <row r="835" spans="1:2" ht="18.75" customHeight="1">
      <c r="A835" s="11"/>
      <c r="B835" s="10"/>
    </row>
    <row r="836" spans="1:2" ht="18.75" customHeight="1">
      <c r="A836" s="11"/>
      <c r="B836" s="10"/>
    </row>
    <row r="837" spans="1:2" ht="18.75" customHeight="1">
      <c r="A837" s="11"/>
      <c r="B837" s="10"/>
    </row>
    <row r="838" spans="1:2" ht="18.75" customHeight="1">
      <c r="A838" s="11"/>
      <c r="B838" s="10"/>
    </row>
    <row r="839" spans="1:2" ht="18.75" customHeight="1">
      <c r="A839" s="11"/>
      <c r="B839" s="10"/>
    </row>
    <row r="840" spans="1:2" ht="18.75" customHeight="1">
      <c r="A840" s="11"/>
      <c r="B840" s="10"/>
    </row>
    <row r="841" spans="1:2" ht="18.75" customHeight="1">
      <c r="A841" s="11"/>
      <c r="B841" s="10"/>
    </row>
    <row r="842" spans="1:2" ht="18.75" customHeight="1">
      <c r="A842" s="11"/>
      <c r="B842" s="10"/>
    </row>
    <row r="843" spans="1:2" ht="18.75" customHeight="1">
      <c r="A843" s="11"/>
      <c r="B843" s="10"/>
    </row>
    <row r="844" spans="1:2" ht="18.75" customHeight="1">
      <c r="A844" s="11"/>
      <c r="B844" s="10"/>
    </row>
    <row r="845" spans="1:2" ht="18.75" customHeight="1">
      <c r="A845" s="11"/>
      <c r="B845" s="10"/>
    </row>
    <row r="846" spans="1:2" ht="18.75" customHeight="1">
      <c r="A846" s="11"/>
      <c r="B846" s="10"/>
    </row>
    <row r="847" spans="1:2" ht="18.75" customHeight="1">
      <c r="A847" s="11"/>
      <c r="B847" s="10"/>
    </row>
    <row r="848" spans="1:2" ht="18.75" customHeight="1">
      <c r="A848" s="11"/>
      <c r="B848" s="10"/>
    </row>
    <row r="849" spans="1:2" ht="18.75" customHeight="1">
      <c r="A849" s="11"/>
      <c r="B849" s="10"/>
    </row>
    <row r="850" spans="1:2" ht="18.75" customHeight="1">
      <c r="A850" s="11"/>
      <c r="B850" s="10"/>
    </row>
    <row r="851" spans="1:2" ht="18.75" customHeight="1">
      <c r="A851" s="11"/>
      <c r="B851" s="10"/>
    </row>
    <row r="852" spans="1:2" ht="18.75" customHeight="1">
      <c r="A852" s="11"/>
      <c r="B852" s="10"/>
    </row>
    <row r="853" spans="1:2" ht="18.75" customHeight="1">
      <c r="A853" s="11"/>
      <c r="B853" s="10"/>
    </row>
    <row r="854" spans="1:2" ht="18.75" customHeight="1">
      <c r="A854" s="11"/>
      <c r="B854" s="10"/>
    </row>
    <row r="855" spans="1:2" ht="18.75" customHeight="1">
      <c r="A855" s="11"/>
      <c r="B855" s="10"/>
    </row>
    <row r="856" spans="1:2" ht="18.75" customHeight="1">
      <c r="A856" s="11"/>
      <c r="B856" s="10"/>
    </row>
    <row r="857" spans="1:2" ht="18.75" customHeight="1">
      <c r="A857" s="11"/>
      <c r="B857" s="10"/>
    </row>
    <row r="858" spans="1:2" ht="18.75" customHeight="1">
      <c r="A858" s="11"/>
      <c r="B858" s="10"/>
    </row>
    <row r="859" spans="1:2" ht="18.75" customHeight="1">
      <c r="A859" s="11"/>
      <c r="B859" s="10"/>
    </row>
    <row r="860" spans="1:2" ht="18.75" customHeight="1">
      <c r="A860" s="11"/>
      <c r="B860" s="10"/>
    </row>
    <row r="861" spans="1:2" ht="18.75" customHeight="1">
      <c r="A861" s="11"/>
      <c r="B861" s="10"/>
    </row>
    <row r="862" spans="1:2" ht="18.75" customHeight="1">
      <c r="A862" s="11"/>
      <c r="B862" s="10"/>
    </row>
    <row r="863" spans="1:2" ht="18.75" customHeight="1">
      <c r="A863" s="11"/>
      <c r="B863" s="10"/>
    </row>
    <row r="864" spans="1:2" ht="18.75" customHeight="1">
      <c r="A864" s="11"/>
      <c r="B864" s="10"/>
    </row>
    <row r="865" spans="1:2" ht="18.75" customHeight="1">
      <c r="A865" s="11"/>
      <c r="B865" s="10"/>
    </row>
    <row r="866" spans="1:2" ht="18.75" customHeight="1">
      <c r="A866" s="11"/>
      <c r="B866" s="10"/>
    </row>
    <row r="867" spans="1:2" ht="18.75" customHeight="1">
      <c r="A867" s="11"/>
      <c r="B867" s="10"/>
    </row>
    <row r="868" spans="1:2" ht="18.75" customHeight="1">
      <c r="A868" s="11"/>
      <c r="B868" s="10"/>
    </row>
    <row r="869" spans="1:2" ht="18.75" customHeight="1">
      <c r="A869" s="11"/>
      <c r="B869" s="10"/>
    </row>
    <row r="870" spans="1:2" ht="18.75" customHeight="1">
      <c r="A870" s="11"/>
      <c r="B870" s="10"/>
    </row>
    <row r="871" spans="1:2" ht="18.75" customHeight="1">
      <c r="A871" s="11"/>
      <c r="B871" s="10"/>
    </row>
    <row r="872" spans="1:2" ht="18.75" customHeight="1">
      <c r="A872" s="11"/>
      <c r="B872" s="10"/>
    </row>
    <row r="873" spans="1:2" ht="18.75" customHeight="1">
      <c r="A873" s="11"/>
      <c r="B873" s="10"/>
    </row>
    <row r="874" spans="1:2" ht="18.75" customHeight="1">
      <c r="A874" s="11"/>
      <c r="B874" s="10"/>
    </row>
    <row r="875" spans="1:2" ht="18.75" customHeight="1">
      <c r="A875" s="11"/>
      <c r="B875" s="10"/>
    </row>
    <row r="876" spans="1:2" ht="18.75" customHeight="1">
      <c r="A876" s="11"/>
      <c r="B876" s="10"/>
    </row>
    <row r="877" spans="1:2" ht="18.75" customHeight="1">
      <c r="A877" s="11"/>
      <c r="B877" s="10"/>
    </row>
    <row r="878" spans="1:2" ht="18.75" customHeight="1">
      <c r="A878" s="11"/>
      <c r="B878" s="10"/>
    </row>
    <row r="879" spans="1:2" ht="18.75" customHeight="1">
      <c r="A879" s="11"/>
      <c r="B879" s="10"/>
    </row>
    <row r="880" spans="1:2" ht="18.75" customHeight="1">
      <c r="A880" s="11"/>
      <c r="B880" s="10"/>
    </row>
    <row r="881" spans="1:2" ht="18.75" customHeight="1">
      <c r="A881" s="11"/>
      <c r="B881" s="10"/>
    </row>
    <row r="882" spans="1:2" ht="18.75" customHeight="1">
      <c r="A882" s="11"/>
      <c r="B882" s="10"/>
    </row>
    <row r="883" spans="1:2" ht="18.75" customHeight="1">
      <c r="A883" s="11"/>
      <c r="B883" s="10"/>
    </row>
    <row r="884" spans="1:2" ht="18.75" customHeight="1">
      <c r="A884" s="11"/>
      <c r="B884" s="10"/>
    </row>
    <row r="885" spans="1:2" ht="18.75" customHeight="1">
      <c r="A885" s="11"/>
      <c r="B885" s="10"/>
    </row>
    <row r="886" spans="1:2" ht="18.75" customHeight="1">
      <c r="A886" s="11"/>
      <c r="B886" s="10"/>
    </row>
    <row r="887" spans="1:2" ht="18.75" customHeight="1">
      <c r="A887" s="11"/>
      <c r="B887" s="10"/>
    </row>
    <row r="888" spans="1:2" ht="18.75" customHeight="1">
      <c r="A888" s="11"/>
      <c r="B888" s="10"/>
    </row>
    <row r="889" spans="1:2" ht="18.75" customHeight="1">
      <c r="A889" s="11"/>
      <c r="B889" s="10"/>
    </row>
    <row r="890" spans="1:2" ht="18.75" customHeight="1">
      <c r="A890" s="11"/>
      <c r="B890" s="10"/>
    </row>
    <row r="891" spans="1:2" ht="18.75" customHeight="1">
      <c r="A891" s="11"/>
      <c r="B891" s="10"/>
    </row>
    <row r="892" spans="1:2" ht="18.75" customHeight="1">
      <c r="A892" s="11"/>
      <c r="B892" s="10"/>
    </row>
    <row r="893" spans="1:2" ht="18.75" customHeight="1">
      <c r="A893" s="11"/>
      <c r="B893" s="10"/>
    </row>
    <row r="894" spans="1:2" ht="18.75" customHeight="1">
      <c r="A894" s="11"/>
      <c r="B894" s="10"/>
    </row>
    <row r="895" spans="1:2" ht="18.75" customHeight="1">
      <c r="A895" s="11"/>
      <c r="B895" s="10"/>
    </row>
    <row r="896" spans="1:2" ht="18.75" customHeight="1">
      <c r="A896" s="11"/>
      <c r="B896" s="10"/>
    </row>
    <row r="897" spans="1:2" ht="18.75" customHeight="1">
      <c r="A897" s="11"/>
      <c r="B897" s="10"/>
    </row>
    <row r="898" spans="1:2" ht="18.75" customHeight="1">
      <c r="A898" s="11"/>
      <c r="B898" s="10"/>
    </row>
    <row r="899" spans="1:2" ht="18.75" customHeight="1">
      <c r="A899" s="11"/>
      <c r="B899" s="10"/>
    </row>
    <row r="900" spans="1:2" ht="18.75" customHeight="1">
      <c r="A900" s="11"/>
      <c r="B900" s="10"/>
    </row>
    <row r="901" spans="1:2" ht="18.75" customHeight="1">
      <c r="A901" s="11"/>
      <c r="B901" s="10"/>
    </row>
    <row r="902" spans="1:2" ht="18.75" customHeight="1">
      <c r="A902" s="11"/>
      <c r="B902" s="10"/>
    </row>
    <row r="903" spans="1:2" ht="18.75" customHeight="1">
      <c r="A903" s="11"/>
      <c r="B903" s="10"/>
    </row>
    <row r="904" spans="1:2" ht="18.75" customHeight="1">
      <c r="A904" s="11"/>
      <c r="B904" s="10"/>
    </row>
    <row r="905" spans="1:2" ht="18.75" customHeight="1">
      <c r="A905" s="11"/>
      <c r="B905" s="10"/>
    </row>
    <row r="906" spans="1:2" ht="18.75" customHeight="1">
      <c r="A906" s="11"/>
      <c r="B906" s="10"/>
    </row>
    <row r="907" spans="1:2" ht="18.75" customHeight="1">
      <c r="A907" s="11"/>
      <c r="B907" s="10"/>
    </row>
    <row r="908" spans="1:2" ht="18.75" customHeight="1">
      <c r="A908" s="11"/>
      <c r="B908" s="10"/>
    </row>
    <row r="909" spans="1:2" ht="18.75" customHeight="1">
      <c r="A909" s="11"/>
      <c r="B909" s="10"/>
    </row>
    <row r="910" spans="1:2" ht="18.75" customHeight="1">
      <c r="A910" s="11"/>
      <c r="B910" s="10"/>
    </row>
    <row r="911" spans="1:2" ht="18.75" customHeight="1">
      <c r="A911" s="11"/>
      <c r="B911" s="10"/>
    </row>
    <row r="912" spans="1:2" ht="18.75" customHeight="1">
      <c r="A912" s="11"/>
      <c r="B912" s="10"/>
    </row>
    <row r="913" spans="1:2" ht="18.75" customHeight="1">
      <c r="A913" s="11"/>
      <c r="B913" s="10"/>
    </row>
    <row r="914" spans="1:2" ht="18.75" customHeight="1">
      <c r="A914" s="11"/>
      <c r="B914" s="10"/>
    </row>
    <row r="915" spans="1:2" ht="18.75" customHeight="1">
      <c r="A915" s="11"/>
      <c r="B915" s="10"/>
    </row>
    <row r="916" spans="1:2" ht="18.75" customHeight="1">
      <c r="A916" s="11"/>
      <c r="B916" s="10"/>
    </row>
    <row r="917" spans="1:2" ht="18.75" customHeight="1">
      <c r="A917" s="11"/>
      <c r="B917" s="10"/>
    </row>
    <row r="918" spans="1:2" ht="18.75" customHeight="1">
      <c r="A918" s="11"/>
      <c r="B918" s="10"/>
    </row>
    <row r="919" spans="1:2" ht="18.75" customHeight="1">
      <c r="A919" s="11"/>
      <c r="B919" s="10"/>
    </row>
    <row r="920" spans="1:2" ht="18.75" customHeight="1">
      <c r="A920" s="11"/>
      <c r="B920" s="10"/>
    </row>
    <row r="921" spans="1:2" ht="18.75" customHeight="1">
      <c r="A921" s="11"/>
      <c r="B921" s="10"/>
    </row>
    <row r="922" spans="1:2" ht="18.75" customHeight="1">
      <c r="A922" s="11"/>
      <c r="B922" s="10"/>
    </row>
    <row r="923" spans="1:2" ht="18.75" customHeight="1">
      <c r="A923" s="11"/>
      <c r="B923" s="10"/>
    </row>
    <row r="924" spans="1:2" ht="18.75" customHeight="1">
      <c r="A924" s="11"/>
      <c r="B924" s="10"/>
    </row>
    <row r="925" spans="1:2" ht="18.75" customHeight="1">
      <c r="A925" s="11"/>
      <c r="B925" s="10"/>
    </row>
    <row r="926" spans="1:2" ht="18.75" customHeight="1">
      <c r="A926" s="11"/>
      <c r="B926" s="10"/>
    </row>
    <row r="927" spans="1:2" ht="18.75" customHeight="1">
      <c r="A927" s="11"/>
      <c r="B927" s="10"/>
    </row>
    <row r="928" spans="1:2" ht="18.75" customHeight="1">
      <c r="A928" s="11"/>
      <c r="B928" s="10"/>
    </row>
    <row r="929" spans="1:2" ht="18.75" customHeight="1">
      <c r="A929" s="11"/>
      <c r="B929" s="10"/>
    </row>
    <row r="930" spans="1:2" ht="18.75" customHeight="1">
      <c r="A930" s="11"/>
      <c r="B930" s="10"/>
    </row>
    <row r="931" spans="1:2" ht="18.75" customHeight="1">
      <c r="A931" s="11"/>
      <c r="B931" s="10"/>
    </row>
    <row r="932" spans="1:2" ht="18.75" customHeight="1">
      <c r="A932" s="11"/>
      <c r="B932" s="10"/>
    </row>
    <row r="933" spans="1:2" ht="18.75" customHeight="1">
      <c r="A933" s="11"/>
      <c r="B933" s="10"/>
    </row>
    <row r="934" spans="1:2" ht="18.75" customHeight="1">
      <c r="A934" s="11"/>
      <c r="B934" s="10"/>
    </row>
    <row r="935" spans="1:2" ht="18.75" customHeight="1">
      <c r="A935" s="11"/>
      <c r="B935" s="10"/>
    </row>
    <row r="936" spans="1:2" ht="18.75" customHeight="1">
      <c r="A936" s="11"/>
      <c r="B936" s="10"/>
    </row>
    <row r="937" spans="1:2" ht="18.75" customHeight="1">
      <c r="A937" s="11"/>
      <c r="B937" s="10"/>
    </row>
    <row r="938" spans="1:2" ht="18.75" customHeight="1">
      <c r="A938" s="11"/>
      <c r="B938" s="10"/>
    </row>
    <row r="939" spans="1:2" ht="18.75" customHeight="1">
      <c r="A939" s="11"/>
      <c r="B939" s="10"/>
    </row>
    <row r="940" spans="1:2" ht="18.75" customHeight="1">
      <c r="A940" s="11"/>
      <c r="B940" s="10"/>
    </row>
    <row r="941" spans="1:2" ht="18.75" customHeight="1">
      <c r="A941" s="11"/>
      <c r="B941" s="10"/>
    </row>
    <row r="942" spans="1:2" ht="18.75" customHeight="1">
      <c r="A942" s="11"/>
      <c r="B942" s="10"/>
    </row>
    <row r="943" spans="1:2" ht="18.75" customHeight="1">
      <c r="A943" s="11"/>
      <c r="B943" s="10"/>
    </row>
    <row r="944" spans="1:2" ht="18.75" customHeight="1">
      <c r="A944" s="11"/>
      <c r="B944" s="10"/>
    </row>
    <row r="945" spans="1:2" ht="18.75" customHeight="1">
      <c r="A945" s="11"/>
      <c r="B945" s="10"/>
    </row>
    <row r="946" spans="1:2" ht="18.75" customHeight="1">
      <c r="A946" s="11"/>
      <c r="B946" s="10"/>
    </row>
    <row r="947" spans="1:2" ht="18.75" customHeight="1">
      <c r="A947" s="11"/>
      <c r="B947" s="10"/>
    </row>
    <row r="948" spans="1:2" ht="18.75" customHeight="1">
      <c r="A948" s="11"/>
      <c r="B948" s="10"/>
    </row>
    <row r="949" spans="1:2" ht="18.75" customHeight="1">
      <c r="A949" s="11"/>
      <c r="B949" s="10"/>
    </row>
    <row r="950" spans="1:2" ht="18.75" customHeight="1">
      <c r="A950" s="11"/>
      <c r="B950" s="10"/>
    </row>
    <row r="951" spans="1:2" ht="18.75" customHeight="1">
      <c r="A951" s="11"/>
      <c r="B951" s="10"/>
    </row>
    <row r="952" spans="1:2" ht="18.75" customHeight="1">
      <c r="A952" s="11"/>
      <c r="B952" s="10"/>
    </row>
    <row r="953" spans="1:2" ht="18.75" customHeight="1">
      <c r="A953" s="11"/>
      <c r="B953" s="10"/>
    </row>
    <row r="954" spans="1:2" ht="18.75" customHeight="1">
      <c r="A954" s="11"/>
      <c r="B954" s="10"/>
    </row>
    <row r="955" spans="1:2" ht="18.75" customHeight="1">
      <c r="A955" s="11"/>
      <c r="B955" s="10"/>
    </row>
    <row r="956" spans="1:2" ht="18.75" customHeight="1">
      <c r="A956" s="11"/>
      <c r="B956" s="10"/>
    </row>
    <row r="957" spans="1:2" ht="18.75" customHeight="1">
      <c r="A957" s="11"/>
      <c r="B957" s="10"/>
    </row>
    <row r="958" spans="1:2" ht="18.75" customHeight="1">
      <c r="A958" s="11"/>
      <c r="B958" s="10"/>
    </row>
    <row r="959" spans="1:2" ht="18.75" customHeight="1">
      <c r="A959" s="11"/>
      <c r="B959" s="10"/>
    </row>
    <row r="960" spans="1:2" ht="18.75" customHeight="1">
      <c r="A960" s="11"/>
      <c r="B960" s="10"/>
    </row>
    <row r="961" spans="1:2" ht="18.75" customHeight="1">
      <c r="A961" s="11"/>
      <c r="B961" s="10"/>
    </row>
    <row r="962" spans="1:2" ht="18.75" customHeight="1">
      <c r="A962" s="11"/>
      <c r="B962" s="10"/>
    </row>
    <row r="963" spans="1:2" ht="18.75" customHeight="1">
      <c r="A963" s="11"/>
      <c r="B963" s="10"/>
    </row>
    <row r="964" spans="1:2" ht="18.75" customHeight="1">
      <c r="A964" s="11"/>
      <c r="B964" s="10"/>
    </row>
    <row r="965" spans="1:2" ht="18.75" customHeight="1">
      <c r="A965" s="11"/>
      <c r="B965" s="10"/>
    </row>
    <row r="966" spans="1:2" ht="18.75" customHeight="1">
      <c r="A966" s="11"/>
      <c r="B966" s="10"/>
    </row>
    <row r="967" spans="1:2" ht="18.75" customHeight="1">
      <c r="A967" s="11"/>
      <c r="B967" s="10"/>
    </row>
    <row r="968" spans="1:2" ht="18.75" customHeight="1">
      <c r="A968" s="11"/>
      <c r="B968" s="10"/>
    </row>
    <row r="969" spans="1:2" ht="18.75" customHeight="1">
      <c r="A969" s="11"/>
      <c r="B969" s="10"/>
    </row>
    <row r="970" spans="1:2" ht="18.75" customHeight="1">
      <c r="A970" s="11"/>
      <c r="B970" s="10"/>
    </row>
    <row r="971" spans="1:2" ht="18.75" customHeight="1">
      <c r="A971" s="11"/>
      <c r="B971" s="10"/>
    </row>
    <row r="972" spans="1:2" ht="18.75" customHeight="1">
      <c r="A972" s="11"/>
      <c r="B972" s="10"/>
    </row>
    <row r="973" spans="1:2" ht="18.75" customHeight="1">
      <c r="A973" s="11"/>
      <c r="B973" s="10"/>
    </row>
    <row r="974" spans="1:2" ht="18.75" customHeight="1">
      <c r="A974" s="11"/>
      <c r="B974" s="10"/>
    </row>
    <row r="975" spans="1:2" ht="18.75" customHeight="1">
      <c r="A975" s="11"/>
      <c r="B975" s="10"/>
    </row>
    <row r="976" spans="1:2" ht="18.75" customHeight="1">
      <c r="A976" s="11"/>
      <c r="B976" s="10"/>
    </row>
    <row r="977" spans="1:2" ht="18.75" customHeight="1">
      <c r="A977" s="11"/>
      <c r="B977" s="10"/>
    </row>
    <row r="978" spans="1:2" ht="18.75" customHeight="1">
      <c r="A978" s="11"/>
      <c r="B978" s="10"/>
    </row>
    <row r="979" spans="1:2" ht="18.75" customHeight="1">
      <c r="A979" s="11"/>
      <c r="B979" s="10"/>
    </row>
    <row r="980" spans="1:2" ht="18.75" customHeight="1">
      <c r="A980" s="11"/>
      <c r="B980" s="10"/>
    </row>
    <row r="981" spans="1:2" ht="18.75" customHeight="1">
      <c r="A981" s="11"/>
      <c r="B981" s="10"/>
    </row>
    <row r="982" spans="1:2" ht="18.75" customHeight="1">
      <c r="A982" s="11"/>
      <c r="B982" s="10"/>
    </row>
    <row r="983" spans="1:2" ht="18.75" customHeight="1">
      <c r="A983" s="11"/>
      <c r="B983" s="10"/>
    </row>
    <row r="984" spans="1:2" ht="18.75" customHeight="1">
      <c r="A984" s="11"/>
      <c r="B984" s="10"/>
    </row>
    <row r="985" spans="1:2" ht="18.75" customHeight="1">
      <c r="A985" s="11"/>
      <c r="B985" s="10"/>
    </row>
    <row r="986" spans="1:2" ht="18.75" customHeight="1">
      <c r="A986" s="11"/>
      <c r="B986" s="10"/>
    </row>
    <row r="987" spans="1:2" ht="18.75" customHeight="1">
      <c r="A987" s="11"/>
      <c r="B987" s="10"/>
    </row>
    <row r="988" spans="1:2" ht="18.75" customHeight="1">
      <c r="A988" s="11"/>
      <c r="B988" s="10"/>
    </row>
    <row r="989" spans="1:2" ht="18.75" customHeight="1">
      <c r="A989" s="11"/>
      <c r="B989" s="10"/>
    </row>
    <row r="990" spans="1:2" ht="18.75" customHeight="1">
      <c r="A990" s="11"/>
      <c r="B990" s="10"/>
    </row>
    <row r="991" spans="1:2" ht="18.75" customHeight="1">
      <c r="A991" s="11"/>
      <c r="B991" s="10"/>
    </row>
    <row r="992" spans="1:2" ht="18.75" customHeight="1">
      <c r="A992" s="11"/>
      <c r="B992" s="10"/>
    </row>
    <row r="993" spans="1:2" ht="18.75" customHeight="1">
      <c r="A993" s="11"/>
      <c r="B993" s="10"/>
    </row>
    <row r="994" spans="1:2" ht="18.75" customHeight="1">
      <c r="A994" s="11"/>
      <c r="B994" s="10"/>
    </row>
    <row r="995" spans="1:2" ht="18.75" customHeight="1">
      <c r="A995" s="11"/>
      <c r="B995" s="10"/>
    </row>
    <row r="996" spans="1:2" ht="18.75" customHeight="1">
      <c r="A996" s="11"/>
      <c r="B996" s="10"/>
    </row>
    <row r="997" spans="1:2" ht="18.75" customHeight="1">
      <c r="A997" s="11"/>
      <c r="B997" s="10"/>
    </row>
    <row r="998" spans="1:2" ht="18.75" customHeight="1">
      <c r="A998" s="11"/>
      <c r="B998" s="10"/>
    </row>
    <row r="999" spans="1:2" ht="18.75" customHeight="1">
      <c r="A999" s="11"/>
      <c r="B999" s="10"/>
    </row>
    <row r="1000" spans="1:2" ht="18.75" customHeight="1">
      <c r="A1000" s="11"/>
      <c r="B1000" s="10"/>
    </row>
    <row r="1001" spans="1:2" ht="18.75" customHeight="1">
      <c r="A1001" s="11"/>
      <c r="B1001" s="10"/>
    </row>
    <row r="1002" spans="1:2" ht="18.75" customHeight="1">
      <c r="A1002" s="11"/>
      <c r="B1002" s="10"/>
    </row>
    <row r="1003" spans="1:2" ht="18.75" customHeight="1">
      <c r="A1003" s="11"/>
      <c r="B1003" s="10"/>
    </row>
    <row r="1004" spans="1:2" ht="18.75" customHeight="1">
      <c r="A1004" s="11"/>
      <c r="B1004" s="10"/>
    </row>
    <row r="1005" spans="1:2" ht="18.75" customHeight="1">
      <c r="A1005" s="11"/>
      <c r="B1005" s="10"/>
    </row>
    <row r="1006" spans="1:2" ht="18.75" customHeight="1">
      <c r="A1006" s="11"/>
      <c r="B1006" s="10"/>
    </row>
    <row r="1007" spans="1:2" ht="18.75" customHeight="1">
      <c r="A1007" s="11"/>
      <c r="B1007" s="10"/>
    </row>
    <row r="1008" spans="1:2" ht="18.75" customHeight="1">
      <c r="A1008" s="11"/>
      <c r="B1008" s="10"/>
    </row>
    <row r="1009" spans="1:2" ht="18.75" customHeight="1">
      <c r="A1009" s="11"/>
      <c r="B1009" s="10"/>
    </row>
    <row r="1010" spans="1:2" ht="18.75" customHeight="1">
      <c r="A1010" s="11"/>
      <c r="B1010" s="10"/>
    </row>
    <row r="1011" spans="1:2" ht="18.75" customHeight="1">
      <c r="A1011" s="11"/>
      <c r="B1011" s="10"/>
    </row>
    <row r="1012" spans="1:2" ht="18.75" customHeight="1">
      <c r="A1012" s="11"/>
      <c r="B1012" s="10"/>
    </row>
    <row r="1013" spans="1:2" ht="18.75" customHeight="1">
      <c r="A1013" s="11"/>
      <c r="B1013" s="10"/>
    </row>
    <row r="1014" spans="1:2" ht="18.75" customHeight="1">
      <c r="A1014" s="11"/>
      <c r="B1014" s="10"/>
    </row>
    <row r="1015" spans="1:2" ht="18.75" customHeight="1">
      <c r="A1015" s="11"/>
      <c r="B1015" s="10"/>
    </row>
    <row r="1016" spans="1:2" ht="18.75" customHeight="1">
      <c r="A1016" s="11"/>
      <c r="B1016" s="10"/>
    </row>
    <row r="1017" spans="1:2" ht="18.75" customHeight="1">
      <c r="A1017" s="11"/>
      <c r="B1017" s="10"/>
    </row>
    <row r="1018" spans="1:2" ht="18.75" customHeight="1">
      <c r="A1018" s="11"/>
      <c r="B1018" s="10"/>
    </row>
    <row r="1019" spans="1:2" ht="18.75" customHeight="1">
      <c r="A1019" s="11"/>
      <c r="B1019" s="10"/>
    </row>
    <row r="1020" spans="1:2" ht="18.75" customHeight="1">
      <c r="A1020" s="11"/>
      <c r="B1020" s="10"/>
    </row>
    <row r="1021" spans="1:2" ht="18.75" customHeight="1">
      <c r="A1021" s="11"/>
      <c r="B1021" s="10"/>
    </row>
    <row r="1022" spans="1:2" ht="18.75" customHeight="1">
      <c r="A1022" s="11"/>
      <c r="B1022" s="10"/>
    </row>
    <row r="1023" spans="1:2" ht="18.75" customHeight="1">
      <c r="A1023" s="11"/>
      <c r="B1023" s="10"/>
    </row>
    <row r="1024" spans="1:2" ht="18.75" customHeight="1">
      <c r="A1024" s="11"/>
      <c r="B1024" s="10"/>
    </row>
    <row r="1025" spans="1:2" ht="18.75" customHeight="1">
      <c r="A1025" s="11"/>
      <c r="B1025" s="10"/>
    </row>
    <row r="1026" spans="1:2" ht="18.75" customHeight="1">
      <c r="A1026" s="11"/>
      <c r="B1026" s="10"/>
    </row>
    <row r="1027" spans="1:2" ht="18.75" customHeight="1">
      <c r="A1027" s="11"/>
      <c r="B1027" s="10"/>
    </row>
    <row r="1028" spans="1:2" ht="18.75" customHeight="1">
      <c r="A1028" s="11"/>
      <c r="B1028" s="10"/>
    </row>
    <row r="1029" spans="1:2" ht="18.75" customHeight="1">
      <c r="A1029" s="11"/>
      <c r="B1029" s="10"/>
    </row>
    <row r="1030" spans="1:2" ht="18.75" customHeight="1">
      <c r="A1030" s="11"/>
      <c r="B1030" s="10"/>
    </row>
    <row r="1031" spans="1:2" ht="18.75" customHeight="1">
      <c r="A1031" s="11"/>
      <c r="B1031" s="10"/>
    </row>
    <row r="1032" spans="1:2" ht="18.75" customHeight="1">
      <c r="A1032" s="11"/>
      <c r="B1032" s="10"/>
    </row>
    <row r="1033" spans="1:2" ht="18.75" customHeight="1">
      <c r="A1033" s="11"/>
      <c r="B1033" s="10"/>
    </row>
    <row r="1034" spans="1:2" ht="18.75" customHeight="1">
      <c r="A1034" s="11"/>
      <c r="B1034" s="10"/>
    </row>
    <row r="1035" spans="1:2" ht="18.75" customHeight="1">
      <c r="A1035" s="11"/>
      <c r="B1035" s="10"/>
    </row>
    <row r="1036" spans="1:2" ht="18.75" customHeight="1">
      <c r="A1036" s="11"/>
      <c r="B1036" s="10"/>
    </row>
    <row r="1037" spans="1:2" ht="18.75" customHeight="1">
      <c r="A1037" s="11"/>
      <c r="B1037" s="10"/>
    </row>
    <row r="1038" spans="1:2" ht="18.75" customHeight="1">
      <c r="A1038" s="11"/>
      <c r="B1038" s="10"/>
    </row>
    <row r="1039" spans="1:2" ht="18.75" customHeight="1">
      <c r="A1039" s="11"/>
      <c r="B1039" s="10"/>
    </row>
    <row r="1040" spans="1:2" ht="18.75" customHeight="1">
      <c r="A1040" s="11"/>
      <c r="B1040" s="10"/>
    </row>
    <row r="1041" spans="1:2" ht="18.75" customHeight="1">
      <c r="A1041" s="11"/>
      <c r="B1041" s="10"/>
    </row>
    <row r="1042" spans="1:2" ht="18.75" customHeight="1">
      <c r="A1042" s="11"/>
      <c r="B1042" s="10"/>
    </row>
    <row r="1043" spans="1:2" ht="18.75" customHeight="1">
      <c r="A1043" s="11"/>
      <c r="B1043" s="10"/>
    </row>
    <row r="1044" spans="1:2" ht="18.75" customHeight="1">
      <c r="A1044" s="11"/>
      <c r="B1044" s="10"/>
    </row>
    <row r="1045" spans="1:2" ht="18.75" customHeight="1">
      <c r="A1045" s="11"/>
      <c r="B1045" s="10"/>
    </row>
    <row r="1046" spans="1:2" ht="18.75" customHeight="1">
      <c r="A1046" s="11"/>
      <c r="B1046" s="10"/>
    </row>
    <row r="1047" spans="1:2" ht="18.75" customHeight="1">
      <c r="A1047" s="11"/>
      <c r="B1047" s="10"/>
    </row>
    <row r="1048" spans="1:2" ht="18.75" customHeight="1">
      <c r="A1048" s="11"/>
      <c r="B1048" s="10"/>
    </row>
    <row r="1049" spans="1:2" ht="18.75" customHeight="1">
      <c r="A1049" s="11"/>
      <c r="B1049" s="10"/>
    </row>
    <row r="1050" spans="1:2" ht="18.75" customHeight="1">
      <c r="A1050" s="11"/>
      <c r="B1050" s="10"/>
    </row>
    <row r="1051" spans="1:2" ht="18.75" customHeight="1">
      <c r="A1051" s="11"/>
      <c r="B1051" s="10"/>
    </row>
    <row r="1052" spans="1:2" ht="18.75" customHeight="1">
      <c r="A1052" s="11"/>
      <c r="B1052" s="10"/>
    </row>
    <row r="1053" spans="1:2" ht="18.75" customHeight="1">
      <c r="A1053" s="11"/>
      <c r="B1053" s="10"/>
    </row>
    <row r="1054" spans="1:2" ht="18.75" customHeight="1">
      <c r="A1054" s="11"/>
      <c r="B1054" s="10"/>
    </row>
    <row r="1055" spans="1:2" ht="18.75" customHeight="1">
      <c r="A1055" s="11"/>
      <c r="B1055" s="10"/>
    </row>
    <row r="1056" spans="1:2" ht="18.75" customHeight="1">
      <c r="A1056" s="11"/>
      <c r="B1056" s="10"/>
    </row>
    <row r="1057" spans="1:2" ht="18.75" customHeight="1">
      <c r="A1057" s="11"/>
      <c r="B1057" s="10"/>
    </row>
    <row r="1058" spans="1:2" ht="18.75" customHeight="1">
      <c r="A1058" s="11"/>
      <c r="B1058" s="10"/>
    </row>
    <row r="1059" spans="1:2" ht="18.75" customHeight="1">
      <c r="A1059" s="11"/>
      <c r="B1059" s="10"/>
    </row>
    <row r="1060" spans="1:2" ht="18.75" customHeight="1">
      <c r="A1060" s="11"/>
      <c r="B1060" s="10"/>
    </row>
    <row r="1061" spans="1:2" ht="18.75" customHeight="1">
      <c r="A1061" s="11"/>
      <c r="B1061" s="10"/>
    </row>
    <row r="1062" spans="1:2" ht="18.75" customHeight="1">
      <c r="A1062" s="11"/>
      <c r="B1062" s="10"/>
    </row>
    <row r="1063" spans="1:2" ht="18.75" customHeight="1">
      <c r="A1063" s="11"/>
      <c r="B1063" s="10"/>
    </row>
    <row r="1064" spans="1:2" ht="18.75" customHeight="1">
      <c r="A1064" s="11"/>
      <c r="B1064" s="10"/>
    </row>
    <row r="1065" spans="1:2" ht="18.75" customHeight="1">
      <c r="A1065" s="11"/>
      <c r="B1065" s="10"/>
    </row>
    <row r="1066" spans="1:2" ht="18.75" customHeight="1">
      <c r="A1066" s="11"/>
      <c r="B1066" s="10"/>
    </row>
    <row r="1067" spans="1:2" ht="18.75" customHeight="1">
      <c r="A1067" s="11"/>
      <c r="B1067" s="10"/>
    </row>
    <row r="1068" spans="1:2" ht="18.75" customHeight="1">
      <c r="A1068" s="11"/>
      <c r="B1068" s="10"/>
    </row>
    <row r="1069" spans="1:2" ht="18.75" customHeight="1">
      <c r="A1069" s="11"/>
      <c r="B1069" s="10"/>
    </row>
    <row r="1070" spans="1:2" ht="18.75" customHeight="1">
      <c r="A1070" s="11"/>
      <c r="B1070" s="10"/>
    </row>
    <row r="1071" spans="1:2" ht="18.75" customHeight="1">
      <c r="A1071" s="11"/>
      <c r="B1071" s="10"/>
    </row>
    <row r="1072" spans="1:2" ht="18.75" customHeight="1">
      <c r="A1072" s="11"/>
      <c r="B1072" s="10"/>
    </row>
    <row r="1073" spans="1:2" ht="18.75" customHeight="1">
      <c r="A1073" s="11"/>
      <c r="B1073" s="10"/>
    </row>
    <row r="1074" spans="1:2" ht="18.75" customHeight="1">
      <c r="A1074" s="11"/>
      <c r="B1074" s="10"/>
    </row>
    <row r="1075" spans="1:2" ht="18.75" customHeight="1">
      <c r="A1075" s="11"/>
      <c r="B1075" s="10"/>
    </row>
    <row r="1076" spans="1:2" ht="18.75" customHeight="1">
      <c r="A1076" s="11"/>
      <c r="B1076" s="10"/>
    </row>
    <row r="1077" spans="1:2" ht="18.75" customHeight="1">
      <c r="A1077" s="11"/>
      <c r="B1077" s="10"/>
    </row>
    <row r="1078" spans="1:2" ht="18.75" customHeight="1">
      <c r="A1078" s="11"/>
      <c r="B1078" s="10"/>
    </row>
    <row r="1079" spans="1:2" ht="18.75" customHeight="1">
      <c r="A1079" s="11"/>
      <c r="B1079" s="10"/>
    </row>
    <row r="1080" spans="1:2" ht="18.75" customHeight="1">
      <c r="A1080" s="11"/>
      <c r="B1080" s="10"/>
    </row>
    <row r="1081" spans="1:2" ht="18.75" customHeight="1">
      <c r="A1081" s="11"/>
      <c r="B1081" s="10"/>
    </row>
    <row r="1082" spans="1:2" ht="18.75" customHeight="1">
      <c r="A1082" s="11"/>
      <c r="B1082" s="10"/>
    </row>
    <row r="1083" spans="1:2" ht="18.75" customHeight="1">
      <c r="A1083" s="11"/>
      <c r="B1083" s="10"/>
    </row>
    <row r="1084" spans="1:2" ht="18.75" customHeight="1">
      <c r="A1084" s="11"/>
      <c r="B1084" s="10"/>
    </row>
    <row r="1085" spans="1:2" ht="18.75" customHeight="1">
      <c r="A1085" s="11"/>
      <c r="B1085" s="10"/>
    </row>
    <row r="1086" spans="1:2" ht="18.75" customHeight="1">
      <c r="A1086" s="11"/>
      <c r="B1086" s="10"/>
    </row>
    <row r="1087" spans="1:2" ht="18.75" customHeight="1">
      <c r="A1087" s="11"/>
      <c r="B1087" s="10"/>
    </row>
    <row r="1088" spans="1:2" ht="18.75" customHeight="1">
      <c r="A1088" s="11"/>
      <c r="B1088" s="10"/>
    </row>
    <row r="1089" spans="1:2" ht="18.75" customHeight="1">
      <c r="A1089" s="11"/>
      <c r="B1089" s="10"/>
    </row>
    <row r="1090" spans="1:2" ht="18.75" customHeight="1">
      <c r="A1090" s="11"/>
      <c r="B1090" s="10"/>
    </row>
    <row r="1091" spans="1:2" ht="18.75" customHeight="1">
      <c r="A1091" s="11"/>
      <c r="B1091" s="10"/>
    </row>
    <row r="1092" spans="1:2" ht="18.75" customHeight="1">
      <c r="A1092" s="11"/>
      <c r="B1092" s="10"/>
    </row>
    <row r="1093" spans="1:2" ht="18.75" customHeight="1">
      <c r="A1093" s="11"/>
      <c r="B1093" s="10"/>
    </row>
    <row r="1094" spans="1:2" ht="18.75" customHeight="1">
      <c r="A1094" s="11"/>
      <c r="B1094" s="10"/>
    </row>
    <row r="1095" spans="1:2" ht="18.75" customHeight="1">
      <c r="A1095" s="11"/>
      <c r="B1095" s="10"/>
    </row>
    <row r="1096" spans="1:2" ht="18.75" customHeight="1">
      <c r="A1096" s="11"/>
      <c r="B1096" s="10"/>
    </row>
    <row r="1097" spans="1:2" ht="18.75" customHeight="1">
      <c r="A1097" s="11"/>
      <c r="B1097" s="10"/>
    </row>
    <row r="1098" spans="1:2" ht="18.75" customHeight="1">
      <c r="A1098" s="11"/>
      <c r="B1098" s="10"/>
    </row>
    <row r="1099" spans="1:2" ht="18.75" customHeight="1">
      <c r="A1099" s="11"/>
      <c r="B1099" s="10"/>
    </row>
    <row r="1100" spans="1:2" ht="18.75" customHeight="1">
      <c r="A1100" s="11"/>
      <c r="B1100" s="10"/>
    </row>
    <row r="1101" spans="1:2" ht="18.75" customHeight="1">
      <c r="A1101" s="11"/>
      <c r="B1101" s="10"/>
    </row>
    <row r="1102" spans="1:2" ht="18.75" customHeight="1">
      <c r="A1102" s="11"/>
      <c r="B1102" s="10"/>
    </row>
    <row r="1103" spans="1:2" ht="18.75" customHeight="1">
      <c r="A1103" s="11"/>
      <c r="B1103" s="10"/>
    </row>
    <row r="1104" spans="1:2" ht="18.75" customHeight="1">
      <c r="A1104" s="11"/>
      <c r="B1104" s="10"/>
    </row>
    <row r="1105" spans="1:2" ht="18.75" customHeight="1">
      <c r="A1105" s="11"/>
      <c r="B1105" s="10"/>
    </row>
    <row r="1106" spans="1:2" ht="18.75" customHeight="1">
      <c r="A1106" s="11"/>
      <c r="B1106" s="10"/>
    </row>
    <row r="1107" spans="1:2" ht="18.75" customHeight="1">
      <c r="A1107" s="11"/>
      <c r="B1107" s="10"/>
    </row>
    <row r="1108" spans="1:2" ht="18.75" customHeight="1">
      <c r="A1108" s="11"/>
      <c r="B1108" s="10"/>
    </row>
    <row r="1109" spans="1:2" ht="18.75" customHeight="1">
      <c r="A1109" s="11"/>
      <c r="B1109" s="10"/>
    </row>
    <row r="1110" spans="1:2" ht="18.75" customHeight="1">
      <c r="A1110" s="11"/>
      <c r="B1110" s="10"/>
    </row>
    <row r="1111" spans="1:2" ht="18.75" customHeight="1">
      <c r="A1111" s="11"/>
      <c r="B1111" s="10"/>
    </row>
    <row r="1112" spans="1:2" ht="18.75" customHeight="1">
      <c r="A1112" s="11"/>
      <c r="B1112" s="10"/>
    </row>
    <row r="1113" spans="1:2" ht="18.75" customHeight="1">
      <c r="A1113" s="11"/>
      <c r="B1113" s="10"/>
    </row>
    <row r="1114" spans="1:2" ht="18.75" customHeight="1">
      <c r="A1114" s="11"/>
      <c r="B1114" s="10"/>
    </row>
    <row r="1115" spans="1:2" ht="18.75" customHeight="1">
      <c r="A1115" s="11"/>
      <c r="B1115" s="10"/>
    </row>
    <row r="1116" spans="1:2" ht="18.75" customHeight="1">
      <c r="A1116" s="11"/>
      <c r="B1116" s="10"/>
    </row>
    <row r="1117" spans="1:2" ht="18.75" customHeight="1">
      <c r="A1117" s="11"/>
      <c r="B1117" s="10"/>
    </row>
    <row r="1118" spans="1:2" ht="18.75" customHeight="1">
      <c r="A1118" s="11"/>
      <c r="B1118" s="10"/>
    </row>
    <row r="1119" spans="1:2" ht="18.75" customHeight="1">
      <c r="A1119" s="11"/>
      <c r="B1119" s="10"/>
    </row>
    <row r="1120" spans="1:2" ht="18.75" customHeight="1">
      <c r="A1120" s="11"/>
      <c r="B1120" s="10"/>
    </row>
    <row r="1121" spans="1:2" ht="18.75" customHeight="1">
      <c r="A1121" s="11"/>
      <c r="B1121" s="10"/>
    </row>
    <row r="1122" spans="1:2" ht="18.75" customHeight="1">
      <c r="A1122" s="11"/>
      <c r="B1122" s="10"/>
    </row>
    <row r="1123" spans="1:2" ht="18.75" customHeight="1">
      <c r="A1123" s="11"/>
      <c r="B1123" s="10"/>
    </row>
    <row r="1124" spans="1:2" ht="18.75" customHeight="1">
      <c r="A1124" s="11"/>
      <c r="B1124" s="10"/>
    </row>
    <row r="1125" spans="1:2" ht="18.75" customHeight="1">
      <c r="A1125" s="11"/>
      <c r="B1125" s="10"/>
    </row>
    <row r="1126" spans="1:2" ht="18.75" customHeight="1">
      <c r="A1126" s="11"/>
      <c r="B1126" s="10"/>
    </row>
    <row r="1127" spans="1:2" ht="18.75" customHeight="1">
      <c r="A1127" s="11"/>
      <c r="B1127" s="10"/>
    </row>
    <row r="1128" spans="1:2" ht="18.75" customHeight="1">
      <c r="A1128" s="11"/>
      <c r="B1128" s="10"/>
    </row>
    <row r="1129" spans="1:2" ht="18.75" customHeight="1">
      <c r="A1129" s="11"/>
      <c r="B1129" s="10"/>
    </row>
    <row r="1130" spans="1:2" ht="18.75" customHeight="1">
      <c r="A1130" s="11"/>
      <c r="B1130" s="10"/>
    </row>
    <row r="1131" spans="1:2" ht="18.75" customHeight="1">
      <c r="A1131" s="11"/>
      <c r="B1131" s="10"/>
    </row>
    <row r="1132" spans="1:2" ht="18.75" customHeight="1">
      <c r="A1132" s="11"/>
      <c r="B1132" s="10"/>
    </row>
    <row r="1133" spans="1:2" ht="18.75" customHeight="1">
      <c r="A1133" s="11"/>
      <c r="B1133" s="10"/>
    </row>
    <row r="1134" spans="1:2" ht="18.75" customHeight="1">
      <c r="A1134" s="11"/>
      <c r="B1134" s="10"/>
    </row>
    <row r="1135" spans="1:2" ht="18.75" customHeight="1">
      <c r="A1135" s="11"/>
      <c r="B1135" s="10"/>
    </row>
    <row r="1136" spans="1:2" ht="18.75" customHeight="1">
      <c r="A1136" s="11"/>
      <c r="B1136" s="10"/>
    </row>
    <row r="1137" spans="1:2" ht="18.75" customHeight="1">
      <c r="A1137" s="11"/>
      <c r="B1137" s="10"/>
    </row>
    <row r="1138" spans="1:2" ht="18.75" customHeight="1">
      <c r="A1138" s="11"/>
      <c r="B1138" s="10"/>
    </row>
    <row r="1139" spans="1:2" ht="18.75" customHeight="1">
      <c r="A1139" s="11"/>
      <c r="B1139" s="10"/>
    </row>
    <row r="1140" spans="1:2" ht="18.75" customHeight="1">
      <c r="A1140" s="11"/>
      <c r="B1140" s="10"/>
    </row>
    <row r="1141" spans="1:2" ht="18.75" customHeight="1">
      <c r="A1141" s="11"/>
      <c r="B1141" s="10"/>
    </row>
    <row r="1142" spans="1:2" ht="18.75" customHeight="1">
      <c r="A1142" s="11"/>
      <c r="B1142" s="10"/>
    </row>
    <row r="1143" spans="1:2" ht="18.75" customHeight="1">
      <c r="A1143" s="11"/>
      <c r="B1143" s="10"/>
    </row>
    <row r="1144" spans="1:2" ht="18.75" customHeight="1">
      <c r="A1144" s="11"/>
      <c r="B1144" s="10"/>
    </row>
    <row r="1145" spans="1:2" ht="18.75" customHeight="1">
      <c r="A1145" s="11"/>
      <c r="B1145" s="10"/>
    </row>
    <row r="1146" spans="1:2" ht="18.75" customHeight="1">
      <c r="A1146" s="11"/>
      <c r="B1146" s="10"/>
    </row>
    <row r="1147" spans="1:2" ht="18.75" customHeight="1">
      <c r="A1147" s="11"/>
      <c r="B1147" s="10"/>
    </row>
    <row r="1148" spans="1:2" ht="18.75" customHeight="1">
      <c r="A1148" s="11"/>
      <c r="B1148" s="10"/>
    </row>
    <row r="1149" spans="1:2" ht="18.75" customHeight="1">
      <c r="A1149" s="11"/>
      <c r="B1149" s="10"/>
    </row>
    <row r="1150" spans="1:2" ht="18.75" customHeight="1">
      <c r="A1150" s="11"/>
      <c r="B1150" s="10"/>
    </row>
    <row r="1151" spans="1:2" ht="18.75" customHeight="1">
      <c r="A1151" s="11"/>
      <c r="B1151" s="10"/>
    </row>
    <row r="1152" spans="1:2" ht="18.75" customHeight="1">
      <c r="A1152" s="11"/>
      <c r="B1152" s="10"/>
    </row>
    <row r="1153" spans="1:2" ht="18.75" customHeight="1">
      <c r="A1153" s="11"/>
      <c r="B1153" s="10"/>
    </row>
    <row r="1154" spans="1:2" ht="18.75" customHeight="1">
      <c r="A1154" s="11"/>
      <c r="B1154" s="10"/>
    </row>
    <row r="1155" spans="1:2" ht="18.75" customHeight="1">
      <c r="A1155" s="11"/>
      <c r="B1155" s="10"/>
    </row>
    <row r="1156" spans="1:2" ht="18.75" customHeight="1">
      <c r="A1156" s="11"/>
      <c r="B1156" s="10"/>
    </row>
    <row r="1157" spans="1:2" ht="18.75" customHeight="1">
      <c r="A1157" s="11"/>
      <c r="B1157" s="10"/>
    </row>
    <row r="1158" spans="1:2" ht="18.75" customHeight="1">
      <c r="A1158" s="11"/>
      <c r="B1158" s="10"/>
    </row>
    <row r="1159" spans="1:2" ht="18.75" customHeight="1">
      <c r="A1159" s="11"/>
      <c r="B1159" s="10"/>
    </row>
    <row r="1160" spans="1:2" ht="18.75" customHeight="1">
      <c r="A1160" s="11"/>
      <c r="B1160" s="10"/>
    </row>
    <row r="1161" spans="1:2" ht="18.75" customHeight="1">
      <c r="A1161" s="11"/>
      <c r="B1161" s="10"/>
    </row>
    <row r="1162" spans="1:2" ht="18.75" customHeight="1">
      <c r="A1162" s="11"/>
      <c r="B1162" s="10"/>
    </row>
    <row r="1163" spans="1:2" ht="18.75" customHeight="1">
      <c r="A1163" s="11"/>
      <c r="B1163" s="10"/>
    </row>
    <row r="1164" spans="1:2" ht="18.75" customHeight="1">
      <c r="A1164" s="11"/>
      <c r="B1164" s="10"/>
    </row>
    <row r="1165" spans="1:2" ht="18.75" customHeight="1">
      <c r="A1165" s="11"/>
      <c r="B1165" s="10"/>
    </row>
    <row r="1166" spans="1:2" ht="18.75" customHeight="1">
      <c r="A1166" s="11"/>
      <c r="B1166" s="10"/>
    </row>
    <row r="1167" spans="1:2" ht="18.75" customHeight="1">
      <c r="A1167" s="11"/>
      <c r="B1167" s="10"/>
    </row>
    <row r="1168" spans="1:2" ht="18.75" customHeight="1">
      <c r="A1168" s="11"/>
      <c r="B1168" s="10"/>
    </row>
    <row r="1169" spans="1:2" ht="18.75" customHeight="1">
      <c r="A1169" s="11"/>
      <c r="B1169" s="10"/>
    </row>
    <row r="1170" spans="1:2" ht="18.75" customHeight="1">
      <c r="A1170" s="11"/>
      <c r="B1170" s="10"/>
    </row>
    <row r="1171" spans="1:2" ht="18.75" customHeight="1">
      <c r="A1171" s="11"/>
      <c r="B1171" s="10"/>
    </row>
    <row r="1172" spans="1:2" ht="18.75" customHeight="1">
      <c r="A1172" s="11"/>
      <c r="B1172" s="10"/>
    </row>
    <row r="1173" spans="1:2" ht="18.75" customHeight="1">
      <c r="A1173" s="11"/>
      <c r="B1173" s="10"/>
    </row>
    <row r="1174" spans="1:2" ht="18.75" customHeight="1">
      <c r="A1174" s="11"/>
      <c r="B1174" s="10"/>
    </row>
    <row r="1175" spans="1:2" ht="18.75" customHeight="1">
      <c r="A1175" s="11"/>
      <c r="B1175" s="10"/>
    </row>
    <row r="1176" spans="1:2" ht="18.75" customHeight="1">
      <c r="A1176" s="11"/>
      <c r="B1176" s="10"/>
    </row>
    <row r="1177" spans="1:2" ht="18.75" customHeight="1">
      <c r="A1177" s="11"/>
      <c r="B1177" s="10"/>
    </row>
    <row r="1178" spans="1:2" ht="18.75" customHeight="1">
      <c r="A1178" s="11"/>
      <c r="B1178" s="10"/>
    </row>
    <row r="1179" spans="1:2" ht="18.75" customHeight="1">
      <c r="A1179" s="11"/>
      <c r="B1179" s="10"/>
    </row>
    <row r="1180" spans="1:2" ht="18.75" customHeight="1">
      <c r="A1180" s="11"/>
      <c r="B1180" s="10"/>
    </row>
    <row r="1181" spans="1:2" ht="18.75" customHeight="1">
      <c r="A1181" s="11"/>
      <c r="B1181" s="10"/>
    </row>
    <row r="1182" spans="1:2" ht="18.75" customHeight="1">
      <c r="A1182" s="11"/>
      <c r="B1182" s="10"/>
    </row>
    <row r="1183" spans="1:2" ht="18.75" customHeight="1">
      <c r="A1183" s="11"/>
      <c r="B1183" s="10"/>
    </row>
    <row r="1184" spans="1:2" ht="18.75" customHeight="1">
      <c r="A1184" s="11"/>
      <c r="B1184" s="10"/>
    </row>
    <row r="1185" spans="1:2" ht="18.75" customHeight="1">
      <c r="A1185" s="11"/>
      <c r="B1185" s="10"/>
    </row>
    <row r="1186" spans="1:2" ht="18.75" customHeight="1">
      <c r="A1186" s="11"/>
      <c r="B1186" s="10"/>
    </row>
    <row r="1187" spans="1:2" ht="18.75" customHeight="1">
      <c r="A1187" s="11"/>
      <c r="B1187" s="10"/>
    </row>
    <row r="1188" spans="1:2" ht="18.75" customHeight="1">
      <c r="A1188" s="11"/>
      <c r="B1188" s="10"/>
    </row>
    <row r="1189" spans="1:2" ht="18.75" customHeight="1">
      <c r="A1189" s="11"/>
      <c r="B1189" s="10"/>
    </row>
    <row r="1190" spans="1:2" ht="18.75" customHeight="1">
      <c r="A1190" s="11"/>
      <c r="B1190" s="10"/>
    </row>
    <row r="1191" spans="1:2" ht="18.75" customHeight="1">
      <c r="A1191" s="11"/>
      <c r="B1191" s="10"/>
    </row>
    <row r="1192" spans="1:2" ht="18.75" customHeight="1">
      <c r="A1192" s="11"/>
      <c r="B1192" s="10"/>
    </row>
    <row r="1193" spans="1:2" ht="18.75" customHeight="1">
      <c r="A1193" s="11"/>
      <c r="B1193" s="10"/>
    </row>
    <row r="1194" spans="1:2" ht="18.75" customHeight="1">
      <c r="A1194" s="11"/>
      <c r="B1194" s="10"/>
    </row>
    <row r="1195" spans="1:2" ht="18.75" customHeight="1">
      <c r="A1195" s="11"/>
      <c r="B1195" s="10"/>
    </row>
    <row r="1196" spans="1:2" ht="18.75" customHeight="1">
      <c r="A1196" s="11"/>
      <c r="B1196" s="10"/>
    </row>
    <row r="1197" spans="1:2" ht="18.75" customHeight="1">
      <c r="A1197" s="11"/>
      <c r="B1197" s="10"/>
    </row>
    <row r="1198" spans="1:2" ht="18.75" customHeight="1">
      <c r="A1198" s="11"/>
      <c r="B1198" s="10"/>
    </row>
    <row r="1199" spans="1:2" ht="18.75" customHeight="1">
      <c r="A1199" s="11"/>
      <c r="B1199" s="10"/>
    </row>
    <row r="1200" spans="1:2" ht="18.75" customHeight="1">
      <c r="A1200" s="11"/>
      <c r="B1200" s="10"/>
    </row>
    <row r="1201" spans="1:2" ht="18.75" customHeight="1">
      <c r="A1201" s="11"/>
      <c r="B1201" s="10"/>
    </row>
    <row r="1202" spans="1:2" ht="18.75" customHeight="1">
      <c r="A1202" s="11"/>
      <c r="B1202" s="10"/>
    </row>
    <row r="1203" spans="1:2" ht="18.75" customHeight="1">
      <c r="A1203" s="11"/>
      <c r="B1203" s="10"/>
    </row>
    <row r="1204" spans="1:2" ht="18.75" customHeight="1">
      <c r="A1204" s="11"/>
      <c r="B1204" s="10"/>
    </row>
    <row r="1205" spans="1:2" ht="18.75" customHeight="1">
      <c r="A1205" s="11"/>
      <c r="B1205" s="10"/>
    </row>
    <row r="1206" spans="1:2" ht="18.75" customHeight="1">
      <c r="A1206" s="11"/>
      <c r="B1206" s="10"/>
    </row>
    <row r="1207" spans="1:2" ht="18.75" customHeight="1">
      <c r="A1207" s="11"/>
      <c r="B1207" s="10"/>
    </row>
    <row r="1208" spans="1:2" ht="18.75" customHeight="1">
      <c r="A1208" s="11"/>
      <c r="B1208" s="10"/>
    </row>
    <row r="1209" spans="1:2" ht="18.75" customHeight="1">
      <c r="A1209" s="11"/>
      <c r="B1209" s="10"/>
    </row>
    <row r="1210" spans="1:2" ht="18.75" customHeight="1">
      <c r="A1210" s="11"/>
      <c r="B1210" s="10"/>
    </row>
    <row r="1211" spans="1:2" ht="18.75" customHeight="1">
      <c r="A1211" s="11"/>
      <c r="B1211" s="10"/>
    </row>
    <row r="1212" spans="1:2" ht="18.75" customHeight="1">
      <c r="A1212" s="11"/>
      <c r="B1212" s="10"/>
    </row>
    <row r="1213" spans="1:2" ht="18.75" customHeight="1">
      <c r="A1213" s="11"/>
      <c r="B1213" s="10"/>
    </row>
    <row r="1214" spans="1:2" ht="18.75" customHeight="1">
      <c r="A1214" s="11"/>
      <c r="B1214" s="10"/>
    </row>
    <row r="1215" spans="1:2" ht="18.75" customHeight="1">
      <c r="A1215" s="11"/>
      <c r="B1215" s="10"/>
    </row>
    <row r="1216" spans="1:2" ht="18.75" customHeight="1">
      <c r="A1216" s="11"/>
      <c r="B1216" s="10"/>
    </row>
    <row r="1217" spans="1:2" ht="18.75" customHeight="1">
      <c r="A1217" s="11"/>
      <c r="B1217" s="10"/>
    </row>
    <row r="1218" spans="1:2" ht="18.75" customHeight="1">
      <c r="A1218" s="11"/>
      <c r="B1218" s="10"/>
    </row>
    <row r="1219" spans="1:2" ht="18.75" customHeight="1">
      <c r="A1219" s="11"/>
      <c r="B1219" s="10"/>
    </row>
    <row r="1220" spans="1:2" ht="18.75" customHeight="1">
      <c r="A1220" s="11"/>
      <c r="B1220" s="10"/>
    </row>
    <row r="1221" spans="1:2" ht="18.75" customHeight="1">
      <c r="A1221" s="11"/>
      <c r="B1221" s="10"/>
    </row>
    <row r="1222" spans="1:2" ht="18.75" customHeight="1">
      <c r="A1222" s="11"/>
      <c r="B1222" s="10"/>
    </row>
    <row r="1223" spans="1:2" ht="18.75" customHeight="1">
      <c r="A1223" s="11"/>
      <c r="B1223" s="10"/>
    </row>
    <row r="1224" spans="1:2" ht="18.75" customHeight="1">
      <c r="A1224" s="11"/>
      <c r="B1224" s="10"/>
    </row>
    <row r="1225" spans="1:2" ht="18.75" customHeight="1">
      <c r="A1225" s="11"/>
      <c r="B1225" s="10"/>
    </row>
    <row r="1226" spans="1:2" ht="18.75" customHeight="1">
      <c r="A1226" s="11"/>
      <c r="B1226" s="10"/>
    </row>
    <row r="1227" spans="1:2" ht="18.75" customHeight="1">
      <c r="A1227" s="11"/>
      <c r="B1227" s="10"/>
    </row>
    <row r="1228" spans="1:2" ht="18.75" customHeight="1">
      <c r="A1228" s="11"/>
      <c r="B1228" s="10"/>
    </row>
    <row r="1229" spans="1:2" ht="18.75" customHeight="1">
      <c r="A1229" s="11"/>
      <c r="B1229" s="10"/>
    </row>
    <row r="1230" spans="1:2" ht="18.75" customHeight="1">
      <c r="A1230" s="11"/>
      <c r="B1230" s="10"/>
    </row>
    <row r="1231" spans="1:2" ht="18.75" customHeight="1">
      <c r="A1231" s="11"/>
      <c r="B1231" s="10"/>
    </row>
    <row r="1232" spans="1:2" ht="18.75" customHeight="1">
      <c r="A1232" s="11"/>
      <c r="B1232" s="10"/>
    </row>
    <row r="1233" spans="1:2" ht="18.75" customHeight="1">
      <c r="A1233" s="11"/>
      <c r="B1233" s="10"/>
    </row>
    <row r="1234" spans="1:2" ht="18.75" customHeight="1">
      <c r="A1234" s="11"/>
      <c r="B1234" s="10"/>
    </row>
    <row r="1235" spans="1:2" ht="18.75" customHeight="1">
      <c r="A1235" s="11"/>
      <c r="B1235" s="10"/>
    </row>
    <row r="1236" spans="1:2" ht="18.75" customHeight="1">
      <c r="A1236" s="11"/>
      <c r="B1236" s="10"/>
    </row>
    <row r="1237" spans="1:2" ht="18.75" customHeight="1">
      <c r="A1237" s="11"/>
      <c r="B1237" s="10"/>
    </row>
    <row r="1238" spans="1:2" ht="18.75" customHeight="1">
      <c r="A1238" s="11"/>
      <c r="B1238" s="10"/>
    </row>
    <row r="1239" spans="1:2" ht="18.75" customHeight="1">
      <c r="A1239" s="11"/>
      <c r="B1239" s="10"/>
    </row>
    <row r="1240" spans="1:2" ht="18.75" customHeight="1">
      <c r="A1240" s="11"/>
      <c r="B1240" s="10"/>
    </row>
    <row r="1241" spans="1:2" ht="18.75" customHeight="1">
      <c r="A1241" s="11"/>
      <c r="B1241" s="10"/>
    </row>
    <row r="1242" spans="1:2" ht="18.75" customHeight="1">
      <c r="A1242" s="11"/>
      <c r="B1242" s="10"/>
    </row>
    <row r="1243" spans="1:2" ht="18.75" customHeight="1">
      <c r="A1243" s="11"/>
      <c r="B1243" s="10"/>
    </row>
    <row r="1244" spans="1:2" ht="18.75" customHeight="1">
      <c r="A1244" s="11"/>
      <c r="B1244" s="10"/>
    </row>
    <row r="1245" spans="1:2" ht="18.75" customHeight="1">
      <c r="A1245" s="11"/>
      <c r="B1245" s="10"/>
    </row>
    <row r="1246" spans="1:2" ht="18.75" customHeight="1">
      <c r="A1246" s="11"/>
      <c r="B1246" s="10"/>
    </row>
    <row r="1247" spans="1:2" ht="18.75" customHeight="1">
      <c r="A1247" s="11"/>
      <c r="B1247" s="10"/>
    </row>
    <row r="1248" spans="1:2" ht="18.75" customHeight="1">
      <c r="A1248" s="11"/>
      <c r="B1248" s="10"/>
    </row>
    <row r="1249" spans="1:2" ht="18.75" customHeight="1">
      <c r="A1249" s="11"/>
      <c r="B1249" s="10"/>
    </row>
    <row r="1250" spans="1:2" ht="18.75" customHeight="1">
      <c r="A1250" s="11"/>
      <c r="B1250" s="10"/>
    </row>
    <row r="1251" spans="1:2" ht="18.75" customHeight="1">
      <c r="A1251" s="11"/>
      <c r="B1251" s="10"/>
    </row>
    <row r="1252" spans="1:2" ht="18.75" customHeight="1">
      <c r="A1252" s="11"/>
      <c r="B1252" s="10"/>
    </row>
    <row r="1253" spans="1:2" ht="18.75" customHeight="1">
      <c r="A1253" s="11"/>
      <c r="B1253" s="10"/>
    </row>
    <row r="1254" spans="1:2" ht="18.75" customHeight="1">
      <c r="A1254" s="11"/>
      <c r="B1254" s="10"/>
    </row>
    <row r="1255" spans="1:2" ht="18.75" customHeight="1">
      <c r="A1255" s="11"/>
      <c r="B1255" s="10"/>
    </row>
    <row r="1256" spans="1:2" ht="18.75" customHeight="1">
      <c r="A1256" s="11"/>
      <c r="B1256" s="10"/>
    </row>
    <row r="1257" spans="1:2" ht="18.75" customHeight="1">
      <c r="A1257" s="11"/>
      <c r="B1257" s="10"/>
    </row>
    <row r="1258" spans="1:2" ht="18.75" customHeight="1">
      <c r="A1258" s="11"/>
      <c r="B1258" s="10"/>
    </row>
    <row r="1259" spans="1:2" ht="18.75" customHeight="1">
      <c r="A1259" s="11"/>
      <c r="B1259" s="10"/>
    </row>
    <row r="1260" spans="1:2" ht="18.75" customHeight="1">
      <c r="A1260" s="11"/>
      <c r="B1260" s="10"/>
    </row>
    <row r="1261" spans="1:2" ht="18.75" customHeight="1">
      <c r="A1261" s="11"/>
      <c r="B1261" s="10"/>
    </row>
    <row r="1262" spans="1:2" ht="18.75" customHeight="1">
      <c r="A1262" s="11"/>
      <c r="B1262" s="10"/>
    </row>
    <row r="1263" spans="1:2" ht="18.75" customHeight="1">
      <c r="A1263" s="11"/>
      <c r="B1263" s="10"/>
    </row>
    <row r="1264" spans="1:2" ht="18.75" customHeight="1">
      <c r="A1264" s="11"/>
      <c r="B1264" s="10"/>
    </row>
    <row r="1265" spans="1:2" ht="18.75" customHeight="1">
      <c r="A1265" s="11"/>
      <c r="B1265" s="10"/>
    </row>
    <row r="1266" spans="1:2" ht="18.75" customHeight="1">
      <c r="A1266" s="11"/>
      <c r="B1266" s="10"/>
    </row>
    <row r="1267" spans="1:2" ht="18.75" customHeight="1">
      <c r="A1267" s="11"/>
      <c r="B1267" s="10"/>
    </row>
    <row r="1268" spans="1:2" ht="18.75" customHeight="1">
      <c r="A1268" s="11"/>
      <c r="B1268" s="10"/>
    </row>
    <row r="1269" spans="1:2" ht="18.75" customHeight="1">
      <c r="A1269" s="11"/>
      <c r="B1269" s="10"/>
    </row>
    <row r="1270" spans="1:2" ht="18.75" customHeight="1">
      <c r="A1270" s="11"/>
      <c r="B1270" s="10"/>
    </row>
    <row r="1271" spans="1:2" ht="18.75" customHeight="1">
      <c r="A1271" s="11"/>
      <c r="B1271" s="10"/>
    </row>
    <row r="1272" spans="1:2" ht="18.75" customHeight="1">
      <c r="A1272" s="11"/>
      <c r="B1272" s="10"/>
    </row>
    <row r="1273" spans="1:2" ht="18.75" customHeight="1">
      <c r="A1273" s="11"/>
      <c r="B1273" s="10"/>
    </row>
    <row r="1274" spans="1:2" ht="18.75" customHeight="1">
      <c r="A1274" s="11"/>
      <c r="B1274" s="10"/>
    </row>
    <row r="1275" spans="1:2" ht="18.75" customHeight="1">
      <c r="A1275" s="11"/>
      <c r="B1275" s="10"/>
    </row>
    <row r="1276" spans="1:2" ht="18.75" customHeight="1">
      <c r="A1276" s="11"/>
      <c r="B1276" s="10"/>
    </row>
    <row r="1277" spans="1:2" ht="18.75" customHeight="1">
      <c r="A1277" s="11"/>
      <c r="B1277" s="10"/>
    </row>
    <row r="1278" spans="1:2" ht="18.75" customHeight="1">
      <c r="A1278" s="11"/>
      <c r="B1278" s="10"/>
    </row>
    <row r="1279" spans="1:2" ht="18.75" customHeight="1">
      <c r="A1279" s="11"/>
      <c r="B1279" s="10"/>
    </row>
    <row r="1280" spans="1:2" ht="18.75" customHeight="1">
      <c r="A1280" s="11"/>
      <c r="B1280" s="10"/>
    </row>
    <row r="1281" spans="1:2" ht="18.75" customHeight="1">
      <c r="A1281" s="11"/>
      <c r="B1281" s="10"/>
    </row>
    <row r="1282" spans="1:2" ht="18.75" customHeight="1">
      <c r="A1282" s="11"/>
      <c r="B1282" s="10"/>
    </row>
    <row r="1283" spans="1:2" ht="18.75" customHeight="1">
      <c r="A1283" s="11"/>
      <c r="B1283" s="10"/>
    </row>
    <row r="1284" spans="1:2" ht="18.75" customHeight="1">
      <c r="A1284" s="11"/>
      <c r="B1284" s="10"/>
    </row>
    <row r="1285" spans="1:2" ht="18.75" customHeight="1">
      <c r="A1285" s="11"/>
      <c r="B1285" s="10"/>
    </row>
    <row r="1286" spans="1:2" ht="18.75" customHeight="1">
      <c r="A1286" s="11"/>
      <c r="B1286" s="10"/>
    </row>
    <row r="1287" spans="1:2" ht="18.75" customHeight="1">
      <c r="A1287" s="11"/>
      <c r="B1287" s="10"/>
    </row>
    <row r="1288" spans="1:2" ht="18.75" customHeight="1">
      <c r="A1288" s="11"/>
      <c r="B1288" s="10"/>
    </row>
    <row r="1289" spans="1:2" ht="18.75" customHeight="1">
      <c r="A1289" s="11"/>
      <c r="B1289" s="10"/>
    </row>
    <row r="1290" spans="1:2" ht="18.75" customHeight="1">
      <c r="A1290" s="11"/>
      <c r="B1290" s="10"/>
    </row>
    <row r="1291" spans="1:2" ht="18.75" customHeight="1">
      <c r="A1291" s="11"/>
      <c r="B1291" s="10"/>
    </row>
    <row r="1292" spans="1:2" ht="18.75" customHeight="1">
      <c r="A1292" s="11"/>
      <c r="B1292" s="10"/>
    </row>
    <row r="1293" spans="1:2" ht="18.75" customHeight="1">
      <c r="A1293" s="11"/>
      <c r="B1293" s="10"/>
    </row>
    <row r="1294" spans="1:2" ht="18.75" customHeight="1">
      <c r="A1294" s="11"/>
      <c r="B1294" s="10"/>
    </row>
    <row r="1295" spans="1:2" ht="18.75" customHeight="1">
      <c r="A1295" s="11"/>
      <c r="B1295" s="10"/>
    </row>
    <row r="1296" spans="1:2" ht="18.75" customHeight="1">
      <c r="A1296" s="11"/>
      <c r="B1296" s="10"/>
    </row>
    <row r="1297" spans="1:2" ht="18.75" customHeight="1">
      <c r="A1297" s="11"/>
      <c r="B1297" s="10"/>
    </row>
    <row r="1298" spans="1:2" ht="18.75" customHeight="1">
      <c r="A1298" s="11"/>
      <c r="B1298" s="10"/>
    </row>
    <row r="1299" spans="1:2" ht="18.75" customHeight="1">
      <c r="A1299" s="11"/>
      <c r="B1299" s="10"/>
    </row>
    <row r="1300" spans="1:2" ht="18.75" customHeight="1">
      <c r="A1300" s="11"/>
      <c r="B1300" s="10"/>
    </row>
    <row r="1301" spans="1:2" ht="18.75" customHeight="1">
      <c r="A1301" s="11"/>
      <c r="B1301" s="10"/>
    </row>
    <row r="1302" spans="1:2" ht="18.75" customHeight="1">
      <c r="A1302" s="11"/>
      <c r="B1302" s="10"/>
    </row>
    <row r="1303" spans="1:2" ht="18.75" customHeight="1">
      <c r="A1303" s="11"/>
      <c r="B1303" s="10"/>
    </row>
    <row r="1304" spans="1:2" ht="18.75" customHeight="1">
      <c r="A1304" s="11"/>
      <c r="B1304" s="10"/>
    </row>
    <row r="1305" spans="1:2" ht="18.75" customHeight="1">
      <c r="A1305" s="11"/>
      <c r="B1305" s="10"/>
    </row>
    <row r="1306" spans="1:2" ht="18.75" customHeight="1">
      <c r="A1306" s="11"/>
      <c r="B1306" s="10"/>
    </row>
    <row r="1307" spans="1:2" ht="18.75" customHeight="1">
      <c r="A1307" s="11"/>
      <c r="B1307" s="10"/>
    </row>
    <row r="1308" spans="1:2" ht="18.75" customHeight="1">
      <c r="A1308" s="11"/>
      <c r="B1308" s="10"/>
    </row>
    <row r="1309" spans="1:2" ht="18.75" customHeight="1">
      <c r="A1309" s="11"/>
      <c r="B1309" s="10"/>
    </row>
    <row r="1310" spans="1:2" ht="18.75" customHeight="1">
      <c r="A1310" s="11"/>
      <c r="B1310" s="10"/>
    </row>
    <row r="1311" spans="1:2" ht="18.75" customHeight="1">
      <c r="A1311" s="11"/>
      <c r="B1311" s="10"/>
    </row>
    <row r="1312" spans="1:2" ht="18.75" customHeight="1">
      <c r="A1312" s="11"/>
      <c r="B1312" s="10"/>
    </row>
    <row r="1313" spans="1:2" ht="18.75" customHeight="1">
      <c r="A1313" s="11"/>
      <c r="B1313" s="10"/>
    </row>
    <row r="1314" spans="1:2" ht="18.75" customHeight="1">
      <c r="A1314" s="11"/>
      <c r="B1314" s="10"/>
    </row>
    <row r="1315" spans="1:2" ht="18.75" customHeight="1">
      <c r="A1315" s="11"/>
      <c r="B1315" s="10"/>
    </row>
    <row r="1316" spans="1:2" ht="18.75" customHeight="1">
      <c r="A1316" s="11"/>
      <c r="B1316" s="10"/>
    </row>
    <row r="1317" spans="1:2" ht="18.75" customHeight="1">
      <c r="A1317" s="11"/>
      <c r="B1317" s="10"/>
    </row>
    <row r="1318" spans="1:2" ht="18.75" customHeight="1">
      <c r="A1318" s="11"/>
      <c r="B1318" s="10"/>
    </row>
    <row r="1319" spans="1:2" ht="18.75" customHeight="1">
      <c r="A1319" s="11"/>
      <c r="B1319" s="10"/>
    </row>
    <row r="1320" spans="1:2" ht="18.75" customHeight="1">
      <c r="A1320" s="11"/>
      <c r="B1320" s="10"/>
    </row>
    <row r="1321" spans="1:2" ht="18.75" customHeight="1">
      <c r="A1321" s="11"/>
      <c r="B1321" s="10"/>
    </row>
    <row r="1322" spans="1:2" ht="18.75" customHeight="1">
      <c r="A1322" s="11"/>
      <c r="B1322" s="10"/>
    </row>
    <row r="1323" spans="1:2" ht="18.75" customHeight="1">
      <c r="A1323" s="11"/>
      <c r="B1323" s="10"/>
    </row>
    <row r="1324" spans="1:2" ht="18.75" customHeight="1">
      <c r="A1324" s="11"/>
      <c r="B1324" s="10"/>
    </row>
    <row r="1325" spans="1:2" ht="18.75" customHeight="1">
      <c r="A1325" s="11"/>
      <c r="B1325" s="10"/>
    </row>
    <row r="1326" spans="1:2" ht="18.75" customHeight="1">
      <c r="A1326" s="11"/>
      <c r="B1326" s="10"/>
    </row>
    <row r="1327" spans="1:2" ht="18.75" customHeight="1">
      <c r="A1327" s="11"/>
      <c r="B1327" s="10"/>
    </row>
    <row r="1328" spans="1:2" ht="18.75" customHeight="1">
      <c r="A1328" s="11"/>
      <c r="B1328" s="10"/>
    </row>
    <row r="1329" spans="1:2" ht="18.75" customHeight="1">
      <c r="A1329" s="11"/>
      <c r="B1329" s="10"/>
    </row>
    <row r="1330" spans="1:2" ht="18.75" customHeight="1">
      <c r="A1330" s="11"/>
      <c r="B1330" s="10"/>
    </row>
    <row r="1331" spans="1:2" ht="18.75" customHeight="1">
      <c r="A1331" s="11"/>
      <c r="B1331" s="10"/>
    </row>
    <row r="1332" spans="1:2" ht="18.75" customHeight="1">
      <c r="A1332" s="11"/>
      <c r="B1332" s="10"/>
    </row>
    <row r="1333" spans="1:2" ht="18.75" customHeight="1">
      <c r="A1333" s="11"/>
      <c r="B1333" s="10"/>
    </row>
    <row r="1334" spans="1:2" ht="18.75" customHeight="1">
      <c r="A1334" s="11"/>
      <c r="B1334" s="10"/>
    </row>
    <row r="1335" spans="1:2" ht="18.75" customHeight="1">
      <c r="A1335" s="11"/>
      <c r="B1335" s="10"/>
    </row>
    <row r="1336" spans="1:2" ht="18.75" customHeight="1">
      <c r="A1336" s="11"/>
      <c r="B1336" s="10"/>
    </row>
    <row r="1337" spans="1:2" ht="18.75" customHeight="1">
      <c r="A1337" s="11"/>
      <c r="B1337" s="10"/>
    </row>
    <row r="1338" spans="1:2" ht="18.75" customHeight="1">
      <c r="A1338" s="11"/>
      <c r="B1338" s="10"/>
    </row>
    <row r="1339" spans="1:2" ht="18.75" customHeight="1">
      <c r="A1339" s="11"/>
      <c r="B1339" s="10"/>
    </row>
    <row r="1340" spans="1:2" ht="18.75" customHeight="1">
      <c r="A1340" s="11"/>
      <c r="B1340" s="10"/>
    </row>
    <row r="1341" spans="1:2" ht="18.75" customHeight="1">
      <c r="A1341" s="11"/>
      <c r="B1341" s="10"/>
    </row>
    <row r="1342" spans="1:2" ht="18.75" customHeight="1">
      <c r="A1342" s="11"/>
      <c r="B1342" s="10"/>
    </row>
    <row r="1343" spans="1:2" ht="18.75" customHeight="1">
      <c r="A1343" s="11"/>
      <c r="B1343" s="10"/>
    </row>
    <row r="1344" spans="1:2" ht="18.75" customHeight="1">
      <c r="A1344" s="11"/>
      <c r="B1344" s="10"/>
    </row>
    <row r="1345" spans="1:2" ht="18.75" customHeight="1">
      <c r="A1345" s="11"/>
      <c r="B1345" s="10"/>
    </row>
    <row r="1346" spans="1:2" ht="18.75" customHeight="1">
      <c r="A1346" s="11"/>
      <c r="B1346" s="10"/>
    </row>
    <row r="1347" spans="1:2" ht="18.75" customHeight="1">
      <c r="A1347" s="11"/>
      <c r="B1347" s="10"/>
    </row>
    <row r="1348" spans="1:2" ht="18.75" customHeight="1">
      <c r="A1348" s="11"/>
      <c r="B1348" s="10"/>
    </row>
    <row r="1349" spans="1:2" ht="18.75" customHeight="1">
      <c r="A1349" s="11"/>
      <c r="B1349" s="10"/>
    </row>
    <row r="1350" spans="1:2" ht="18.75" customHeight="1">
      <c r="A1350" s="11"/>
      <c r="B1350" s="10"/>
    </row>
    <row r="1351" spans="1:2" ht="18.75" customHeight="1">
      <c r="A1351" s="11"/>
      <c r="B1351" s="10"/>
    </row>
    <row r="1352" spans="1:2" ht="18.75" customHeight="1">
      <c r="A1352" s="11"/>
      <c r="B1352" s="10"/>
    </row>
    <row r="1353" spans="1:2" ht="18.75" customHeight="1">
      <c r="A1353" s="11"/>
      <c r="B1353" s="10"/>
    </row>
    <row r="1354" spans="1:2" ht="18.75" customHeight="1">
      <c r="A1354" s="11"/>
      <c r="B1354" s="10"/>
    </row>
    <row r="1355" spans="1:2" ht="18.75" customHeight="1">
      <c r="A1355" s="11"/>
      <c r="B1355" s="10"/>
    </row>
    <row r="1356" spans="1:2" ht="18.75" customHeight="1">
      <c r="A1356" s="11"/>
      <c r="B1356" s="10"/>
    </row>
    <row r="1357" spans="1:2" ht="18.75" customHeight="1">
      <c r="A1357" s="11"/>
      <c r="B1357" s="10"/>
    </row>
    <row r="1358" spans="1:2" ht="18.75" customHeight="1">
      <c r="A1358" s="11"/>
      <c r="B1358" s="10"/>
    </row>
    <row r="1359" spans="1:2" ht="18.75" customHeight="1">
      <c r="A1359" s="11"/>
      <c r="B1359" s="10"/>
    </row>
    <row r="1360" spans="1:2" ht="18.75" customHeight="1">
      <c r="A1360" s="11"/>
      <c r="B1360" s="10"/>
    </row>
    <row r="1361" spans="1:2" ht="18.75" customHeight="1">
      <c r="A1361" s="11"/>
      <c r="B1361" s="10"/>
    </row>
    <row r="1362" spans="1:2" ht="18.75" customHeight="1">
      <c r="A1362" s="11"/>
      <c r="B1362" s="10"/>
    </row>
    <row r="1363" spans="1:2" ht="18.75" customHeight="1">
      <c r="A1363" s="11"/>
      <c r="B1363" s="10"/>
    </row>
    <row r="1364" spans="1:2" ht="18.75" customHeight="1">
      <c r="A1364" s="11"/>
      <c r="B1364" s="10"/>
    </row>
    <row r="1365" spans="1:2" ht="18.75" customHeight="1">
      <c r="A1365" s="11"/>
      <c r="B1365" s="10"/>
    </row>
    <row r="1366" spans="1:2" ht="18.75" customHeight="1">
      <c r="A1366" s="11"/>
      <c r="B1366" s="10"/>
    </row>
    <row r="1367" spans="1:2" ht="18.75" customHeight="1">
      <c r="A1367" s="11"/>
      <c r="B1367" s="10"/>
    </row>
    <row r="1368" spans="1:2" ht="18.75" customHeight="1">
      <c r="A1368" s="11"/>
      <c r="B1368" s="10"/>
    </row>
    <row r="1369" spans="1:2" ht="18.75" customHeight="1">
      <c r="A1369" s="11"/>
      <c r="B1369" s="10"/>
    </row>
    <row r="1370" spans="1:2" ht="18.75" customHeight="1">
      <c r="A1370" s="11"/>
      <c r="B1370" s="10"/>
    </row>
    <row r="1371" spans="1:2" ht="18.75" customHeight="1">
      <c r="A1371" s="11"/>
      <c r="B1371" s="10"/>
    </row>
    <row r="1372" spans="1:2" ht="18.75" customHeight="1">
      <c r="A1372" s="11"/>
      <c r="B1372" s="10"/>
    </row>
    <row r="1373" spans="1:2" ht="18.75" customHeight="1">
      <c r="A1373" s="11"/>
      <c r="B1373" s="10"/>
    </row>
    <row r="1374" spans="1:2" ht="18.75" customHeight="1">
      <c r="A1374" s="11"/>
      <c r="B1374" s="10"/>
    </row>
    <row r="1375" spans="1:2" ht="18.75" customHeight="1">
      <c r="A1375" s="11"/>
      <c r="B1375" s="10"/>
    </row>
    <row r="1376" spans="1:2" ht="18.75" customHeight="1">
      <c r="A1376" s="11"/>
      <c r="B1376" s="10"/>
    </row>
    <row r="1377" spans="1:2" ht="18.75" customHeight="1">
      <c r="A1377" s="11"/>
      <c r="B1377" s="10"/>
    </row>
    <row r="1378" spans="1:2" ht="18.75" customHeight="1">
      <c r="A1378" s="11"/>
      <c r="B1378" s="10"/>
    </row>
    <row r="1379" spans="1:2" ht="18.75" customHeight="1">
      <c r="A1379" s="11"/>
      <c r="B1379" s="10"/>
    </row>
    <row r="1380" spans="1:2" ht="18.75" customHeight="1">
      <c r="A1380" s="11"/>
      <c r="B1380" s="10"/>
    </row>
    <row r="1381" spans="1:2" ht="18.75" customHeight="1">
      <c r="A1381" s="11"/>
      <c r="B1381" s="10"/>
    </row>
    <row r="1382" spans="1:2" ht="18.75" customHeight="1">
      <c r="A1382" s="11"/>
      <c r="B1382" s="10"/>
    </row>
    <row r="1383" spans="1:2" ht="18.75" customHeight="1">
      <c r="A1383" s="11"/>
      <c r="B1383" s="10"/>
    </row>
    <row r="1384" spans="1:2" ht="18.75" customHeight="1">
      <c r="A1384" s="11"/>
      <c r="B1384" s="10"/>
    </row>
    <row r="1385" spans="1:2" ht="18.75" customHeight="1">
      <c r="A1385" s="11"/>
      <c r="B1385" s="10"/>
    </row>
    <row r="1386" spans="1:2" ht="18.75" customHeight="1">
      <c r="A1386" s="11"/>
      <c r="B1386" s="10"/>
    </row>
    <row r="1387" spans="1:2" ht="18.75" customHeight="1">
      <c r="A1387" s="11"/>
      <c r="B1387" s="10"/>
    </row>
    <row r="1388" spans="1:2" ht="18.75" customHeight="1">
      <c r="A1388" s="11"/>
      <c r="B1388" s="10"/>
    </row>
    <row r="1389" spans="1:2" ht="18.75" customHeight="1">
      <c r="A1389" s="11"/>
      <c r="B1389" s="10"/>
    </row>
    <row r="1390" spans="1:2" ht="18.75" customHeight="1">
      <c r="A1390" s="11"/>
      <c r="B1390" s="10"/>
    </row>
    <row r="1391" spans="1:2" ht="18.75" customHeight="1">
      <c r="A1391" s="11"/>
      <c r="B1391" s="10"/>
    </row>
    <row r="1392" spans="1:2" ht="18.75" customHeight="1">
      <c r="A1392" s="11"/>
      <c r="B1392" s="10"/>
    </row>
    <row r="1393" spans="1:2" ht="18.75" customHeight="1">
      <c r="A1393" s="11"/>
      <c r="B1393" s="10"/>
    </row>
    <row r="1394" spans="1:2" ht="18.75" customHeight="1">
      <c r="A1394" s="11"/>
      <c r="B1394" s="10"/>
    </row>
    <row r="1395" spans="1:2" ht="18.75" customHeight="1">
      <c r="A1395" s="11"/>
      <c r="B1395" s="10"/>
    </row>
    <row r="1396" spans="1:2" ht="18.75" customHeight="1">
      <c r="A1396" s="11"/>
      <c r="B1396" s="10"/>
    </row>
    <row r="1397" spans="1:2" ht="18.75" customHeight="1">
      <c r="A1397" s="11"/>
      <c r="B1397" s="10"/>
    </row>
    <row r="1398" spans="1:2" ht="18.75" customHeight="1">
      <c r="A1398" s="11"/>
      <c r="B1398" s="10"/>
    </row>
    <row r="1399" spans="1:2" ht="18.75" customHeight="1">
      <c r="A1399" s="11"/>
      <c r="B1399" s="10"/>
    </row>
    <row r="1400" spans="1:2" ht="18.75" customHeight="1">
      <c r="A1400" s="11"/>
      <c r="B1400" s="10"/>
    </row>
    <row r="1401" spans="1:2" ht="18.75" customHeight="1">
      <c r="A1401" s="11"/>
      <c r="B1401" s="10"/>
    </row>
    <row r="1402" spans="1:2" ht="18.75" customHeight="1">
      <c r="A1402" s="11"/>
      <c r="B1402" s="10"/>
    </row>
    <row r="1403" spans="1:2" ht="18.75" customHeight="1">
      <c r="A1403" s="11"/>
      <c r="B1403" s="10"/>
    </row>
    <row r="1404" spans="1:2" ht="18.75" customHeight="1">
      <c r="A1404" s="11"/>
      <c r="B1404" s="10"/>
    </row>
    <row r="1405" spans="1:2" ht="18.75" customHeight="1">
      <c r="A1405" s="11"/>
      <c r="B1405" s="10"/>
    </row>
    <row r="1406" spans="1:2" ht="18.75" customHeight="1">
      <c r="A1406" s="11"/>
      <c r="B1406" s="10"/>
    </row>
    <row r="1407" spans="1:2" ht="18.75" customHeight="1">
      <c r="A1407" s="11"/>
      <c r="B1407" s="10"/>
    </row>
    <row r="1408" spans="1:2" ht="18.75" customHeight="1">
      <c r="A1408" s="11"/>
      <c r="B1408" s="10"/>
    </row>
    <row r="1409" spans="1:2" ht="18.75" customHeight="1">
      <c r="A1409" s="11"/>
      <c r="B1409" s="10"/>
    </row>
    <row r="1410" spans="1:2" ht="18.75" customHeight="1">
      <c r="A1410" s="11"/>
      <c r="B1410" s="10"/>
    </row>
    <row r="1411" spans="1:2" ht="18.75" customHeight="1">
      <c r="A1411" s="11"/>
      <c r="B1411" s="10"/>
    </row>
    <row r="1412" spans="1:2" ht="18.75" customHeight="1">
      <c r="A1412" s="11"/>
      <c r="B1412" s="10"/>
    </row>
    <row r="1413" spans="1:2" ht="18.75" customHeight="1">
      <c r="A1413" s="11"/>
      <c r="B1413" s="10"/>
    </row>
    <row r="1414" spans="1:2" ht="18.75" customHeight="1">
      <c r="A1414" s="11"/>
      <c r="B1414" s="10"/>
    </row>
    <row r="1415" spans="1:2" ht="18.75" customHeight="1">
      <c r="A1415" s="11"/>
      <c r="B1415" s="10"/>
    </row>
    <row r="1416" spans="1:2" ht="18.75" customHeight="1">
      <c r="A1416" s="11"/>
      <c r="B1416" s="10"/>
    </row>
    <row r="1417" spans="1:2" ht="18.75" customHeight="1">
      <c r="A1417" s="11"/>
      <c r="B1417" s="10"/>
    </row>
    <row r="1418" spans="1:2" ht="18.75" customHeight="1">
      <c r="A1418" s="11"/>
      <c r="B1418" s="10"/>
    </row>
    <row r="1419" spans="1:2" ht="18.75" customHeight="1">
      <c r="A1419" s="11"/>
      <c r="B1419" s="10"/>
    </row>
    <row r="1420" spans="1:2" ht="18.75" customHeight="1">
      <c r="A1420" s="11"/>
      <c r="B1420" s="10"/>
    </row>
    <row r="1421" spans="1:2" ht="18.75" customHeight="1">
      <c r="A1421" s="11"/>
      <c r="B1421" s="10"/>
    </row>
    <row r="1422" spans="1:2" ht="18.75" customHeight="1">
      <c r="A1422" s="11"/>
      <c r="B1422" s="10"/>
    </row>
    <row r="1423" spans="1:2" ht="18.75" customHeight="1">
      <c r="A1423" s="11"/>
      <c r="B1423" s="10"/>
    </row>
    <row r="1424" spans="1:2" ht="18.75" customHeight="1">
      <c r="A1424" s="11"/>
      <c r="B1424" s="10"/>
    </row>
    <row r="1425" spans="1:2" ht="18.75" customHeight="1">
      <c r="A1425" s="11"/>
      <c r="B1425" s="10"/>
    </row>
    <row r="1426" spans="1:2" ht="18.75" customHeight="1">
      <c r="A1426" s="11"/>
      <c r="B1426" s="10"/>
    </row>
    <row r="1427" spans="1:2" ht="18.75" customHeight="1">
      <c r="A1427" s="11"/>
      <c r="B1427" s="10"/>
    </row>
    <row r="1428" spans="1:2" ht="18.75" customHeight="1">
      <c r="A1428" s="11"/>
      <c r="B1428" s="10"/>
    </row>
    <row r="1429" spans="1:2" ht="18.75" customHeight="1">
      <c r="A1429" s="11"/>
      <c r="B1429" s="10"/>
    </row>
    <row r="1430" spans="1:2" ht="18.75" customHeight="1">
      <c r="A1430" s="11"/>
      <c r="B1430" s="10"/>
    </row>
    <row r="1431" spans="1:2" ht="18.75" customHeight="1">
      <c r="A1431" s="11"/>
      <c r="B1431" s="10"/>
    </row>
    <row r="1432" spans="1:2" ht="18.75" customHeight="1">
      <c r="A1432" s="11"/>
      <c r="B1432" s="10"/>
    </row>
    <row r="1433" spans="1:2" ht="18.75" customHeight="1">
      <c r="A1433" s="11"/>
      <c r="B1433" s="10"/>
    </row>
    <row r="1434" spans="1:2" ht="18.75" customHeight="1">
      <c r="A1434" s="11"/>
      <c r="B1434" s="10"/>
    </row>
    <row r="1435" spans="1:2" ht="18.75" customHeight="1">
      <c r="A1435" s="11"/>
      <c r="B1435" s="10"/>
    </row>
    <row r="1436" spans="1:2" ht="18.75" customHeight="1">
      <c r="A1436" s="11"/>
      <c r="B1436" s="10"/>
    </row>
    <row r="1437" spans="1:2" ht="18.75" customHeight="1">
      <c r="A1437" s="11"/>
      <c r="B1437" s="10"/>
    </row>
    <row r="1438" spans="1:2" ht="18.75" customHeight="1">
      <c r="A1438" s="11"/>
      <c r="B1438" s="10"/>
    </row>
    <row r="1439" spans="1:2" ht="18.75" customHeight="1">
      <c r="A1439" s="11"/>
      <c r="B1439" s="10"/>
    </row>
    <row r="1440" spans="1:2" ht="18.75" customHeight="1">
      <c r="A1440" s="11"/>
      <c r="B1440" s="10"/>
    </row>
    <row r="1441" spans="1:2" ht="18.75" customHeight="1">
      <c r="A1441" s="11"/>
      <c r="B1441" s="10"/>
    </row>
    <row r="1442" spans="1:2" ht="18.75" customHeight="1">
      <c r="A1442" s="11"/>
      <c r="B1442" s="10"/>
    </row>
    <row r="1443" spans="1:2" ht="18.75" customHeight="1">
      <c r="A1443" s="11"/>
      <c r="B1443" s="10"/>
    </row>
    <row r="1444" spans="1:2" ht="18.75" customHeight="1">
      <c r="A1444" s="11"/>
      <c r="B1444" s="10"/>
    </row>
  </sheetData>
  <protectedRanges>
    <protectedRange sqref="I45:I106 I2:I27 I29:I43 F2:H65535 K2:K65535 I108:I65535" name="company b"/>
    <protectedRange sqref="J2:J65535 D2:E65535" name="company a"/>
  </protectedRanges>
  <dataValidations count="1">
    <dataValidation type="custom" allowBlank="1" showInputMessage="1" showErrorMessage="1" errorTitle="Jersey Company" error="Please type Jsy for a Jersey Company" sqref="RDP983041:RDP1048576 RNL983041:RNL1048576 IV65537:IV131071 SR65537:SR131071 ACN65537:ACN131071 AMJ65537:AMJ131071 AWF65537:AWF131071 BGB65537:BGB131071 BPX65537:BPX131071 BZT65537:BZT131071 CJP65537:CJP131071 CTL65537:CTL131071 DDH65537:DDH131071 DND65537:DND131071 DWZ65537:DWZ131071 EGV65537:EGV131071 EQR65537:EQR131071 FAN65537:FAN131071 FKJ65537:FKJ131071 FUF65537:FUF131071 GEB65537:GEB131071 GNX65537:GNX131071 GXT65537:GXT131071 HHP65537:HHP131071 HRL65537:HRL131071 IBH65537:IBH131071 ILD65537:ILD131071 IUZ65537:IUZ131071 JEV65537:JEV131071 JOR65537:JOR131071 JYN65537:JYN131071 KIJ65537:KIJ131071 KSF65537:KSF131071 LCB65537:LCB131071 LLX65537:LLX131071 LVT65537:LVT131071 MFP65537:MFP131071 MPL65537:MPL131071 MZH65537:MZH131071 NJD65537:NJD131071 NSZ65537:NSZ131071 OCV65537:OCV131071 OMR65537:OMR131071 OWN65537:OWN131071 PGJ65537:PGJ131071 PQF65537:PQF131071 QAB65537:QAB131071 QJX65537:QJX131071 QTT65537:QTT131071 RDP65537:RDP131071 RNL65537:RNL131071 RXH65537:RXH131071 SHD65537:SHD131071 SQZ65537:SQZ131071 TAV65537:TAV131071 TKR65537:TKR131071 TUN65537:TUN131071 UEJ65537:UEJ131071 UOF65537:UOF131071 UYB65537:UYB131071 VHX65537:VHX131071 VRT65537:VRT131071 WBP65537:WBP131071 WLL65537:WLL131071 WVH65537:WVH131071 RXH983041:RXH1048576 IV131073:IV196607 SR131073:SR196607 ACN131073:ACN196607 AMJ131073:AMJ196607 AWF131073:AWF196607 BGB131073:BGB196607 BPX131073:BPX196607 BZT131073:BZT196607 CJP131073:CJP196607 CTL131073:CTL196607 DDH131073:DDH196607 DND131073:DND196607 DWZ131073:DWZ196607 EGV131073:EGV196607 EQR131073:EQR196607 FAN131073:FAN196607 FKJ131073:FKJ196607 FUF131073:FUF196607 GEB131073:GEB196607 GNX131073:GNX196607 GXT131073:GXT196607 HHP131073:HHP196607 HRL131073:HRL196607 IBH131073:IBH196607 ILD131073:ILD196607 IUZ131073:IUZ196607 JEV131073:JEV196607 JOR131073:JOR196607 JYN131073:JYN196607 KIJ131073:KIJ196607 KSF131073:KSF196607 LCB131073:LCB196607 LLX131073:LLX196607 LVT131073:LVT196607 MFP131073:MFP196607 MPL131073:MPL196607 MZH131073:MZH196607 NJD131073:NJD196607 NSZ131073:NSZ196607 OCV131073:OCV196607 OMR131073:OMR196607 OWN131073:OWN196607 PGJ131073:PGJ196607 PQF131073:PQF196607 QAB131073:QAB196607 QJX131073:QJX196607 QTT131073:QTT196607 RDP131073:RDP196607 RNL131073:RNL196607 RXH131073:RXH196607 SHD131073:SHD196607 SQZ131073:SQZ196607 TAV131073:TAV196607 TKR131073:TKR196607 TUN131073:TUN196607 UEJ131073:UEJ196607 UOF131073:UOF196607 UYB131073:UYB196607 VHX131073:VHX196607 VRT131073:VRT196607 WBP131073:WBP196607 WLL131073:WLL196607 WVH131073:WVH196607 SHD983041:SHD1048576 IV196609:IV262143 SR196609:SR262143 ACN196609:ACN262143 AMJ196609:AMJ262143 AWF196609:AWF262143 BGB196609:BGB262143 BPX196609:BPX262143 BZT196609:BZT262143 CJP196609:CJP262143 CTL196609:CTL262143 DDH196609:DDH262143 DND196609:DND262143 DWZ196609:DWZ262143 EGV196609:EGV262143 EQR196609:EQR262143 FAN196609:FAN262143 FKJ196609:FKJ262143 FUF196609:FUF262143 GEB196609:GEB262143 GNX196609:GNX262143 GXT196609:GXT262143 HHP196609:HHP262143 HRL196609:HRL262143 IBH196609:IBH262143 ILD196609:ILD262143 IUZ196609:IUZ262143 JEV196609:JEV262143 JOR196609:JOR262143 JYN196609:JYN262143 KIJ196609:KIJ262143 KSF196609:KSF262143 LCB196609:LCB262143 LLX196609:LLX262143 LVT196609:LVT262143 MFP196609:MFP262143 MPL196609:MPL262143 MZH196609:MZH262143 NJD196609:NJD262143 NSZ196609:NSZ262143 OCV196609:OCV262143 OMR196609:OMR262143 OWN196609:OWN262143 PGJ196609:PGJ262143 PQF196609:PQF262143 QAB196609:QAB262143 QJX196609:QJX262143 QTT196609:QTT262143 RDP196609:RDP262143 RNL196609:RNL262143 RXH196609:RXH262143 SHD196609:SHD262143 SQZ196609:SQZ262143 TAV196609:TAV262143 TKR196609:TKR262143 TUN196609:TUN262143 UEJ196609:UEJ262143 UOF196609:UOF262143 UYB196609:UYB262143 VHX196609:VHX262143 VRT196609:VRT262143 WBP196609:WBP262143 WLL196609:WLL262143 WVH196609:WVH262143 SQZ983041:SQZ1048576 IV262145:IV327679 SR262145:SR327679 ACN262145:ACN327679 AMJ262145:AMJ327679 AWF262145:AWF327679 BGB262145:BGB327679 BPX262145:BPX327679 BZT262145:BZT327679 CJP262145:CJP327679 CTL262145:CTL327679 DDH262145:DDH327679 DND262145:DND327679 DWZ262145:DWZ327679 EGV262145:EGV327679 EQR262145:EQR327679 FAN262145:FAN327679 FKJ262145:FKJ327679 FUF262145:FUF327679 GEB262145:GEB327679 GNX262145:GNX327679 GXT262145:GXT327679 HHP262145:HHP327679 HRL262145:HRL327679 IBH262145:IBH327679 ILD262145:ILD327679 IUZ262145:IUZ327679 JEV262145:JEV327679 JOR262145:JOR327679 JYN262145:JYN327679 KIJ262145:KIJ327679 KSF262145:KSF327679 LCB262145:LCB327679 LLX262145:LLX327679 LVT262145:LVT327679 MFP262145:MFP327679 MPL262145:MPL327679 MZH262145:MZH327679 NJD262145:NJD327679 NSZ262145:NSZ327679 OCV262145:OCV327679 OMR262145:OMR327679 OWN262145:OWN327679 PGJ262145:PGJ327679 PQF262145:PQF327679 QAB262145:QAB327679 QJX262145:QJX327679 QTT262145:QTT327679 RDP262145:RDP327679 RNL262145:RNL327679 RXH262145:RXH327679 SHD262145:SHD327679 SQZ262145:SQZ327679 TAV262145:TAV327679 TKR262145:TKR327679 TUN262145:TUN327679 UEJ262145:UEJ327679 UOF262145:UOF327679 UYB262145:UYB327679 VHX262145:VHX327679 VRT262145:VRT327679 WBP262145:WBP327679 WLL262145:WLL327679 WVH262145:WVH327679 TAV983041:TAV1048576 IV327681:IV393215 SR327681:SR393215 ACN327681:ACN393215 AMJ327681:AMJ393215 AWF327681:AWF393215 BGB327681:BGB393215 BPX327681:BPX393215 BZT327681:BZT393215 CJP327681:CJP393215 CTL327681:CTL393215 DDH327681:DDH393215 DND327681:DND393215 DWZ327681:DWZ393215 EGV327681:EGV393215 EQR327681:EQR393215 FAN327681:FAN393215 FKJ327681:FKJ393215 FUF327681:FUF393215 GEB327681:GEB393215 GNX327681:GNX393215 GXT327681:GXT393215 HHP327681:HHP393215 HRL327681:HRL393215 IBH327681:IBH393215 ILD327681:ILD393215 IUZ327681:IUZ393215 JEV327681:JEV393215 JOR327681:JOR393215 JYN327681:JYN393215 KIJ327681:KIJ393215 KSF327681:KSF393215 LCB327681:LCB393215 LLX327681:LLX393215 LVT327681:LVT393215 MFP327681:MFP393215 MPL327681:MPL393215 MZH327681:MZH393215 NJD327681:NJD393215 NSZ327681:NSZ393215 OCV327681:OCV393215 OMR327681:OMR393215 OWN327681:OWN393215 PGJ327681:PGJ393215 PQF327681:PQF393215 QAB327681:QAB393215 QJX327681:QJX393215 QTT327681:QTT393215 RDP327681:RDP393215 RNL327681:RNL393215 RXH327681:RXH393215 SHD327681:SHD393215 SQZ327681:SQZ393215 TAV327681:TAV393215 TKR327681:TKR393215 TUN327681:TUN393215 UEJ327681:UEJ393215 UOF327681:UOF393215 UYB327681:UYB393215 VHX327681:VHX393215 VRT327681:VRT393215 WBP327681:WBP393215 WLL327681:WLL393215 WVH327681:WVH393215 TKR983041:TKR1048576 IV393217:IV458751 SR393217:SR458751 ACN393217:ACN458751 AMJ393217:AMJ458751 AWF393217:AWF458751 BGB393217:BGB458751 BPX393217:BPX458751 BZT393217:BZT458751 CJP393217:CJP458751 CTL393217:CTL458751 DDH393217:DDH458751 DND393217:DND458751 DWZ393217:DWZ458751 EGV393217:EGV458751 EQR393217:EQR458751 FAN393217:FAN458751 FKJ393217:FKJ458751 FUF393217:FUF458751 GEB393217:GEB458751 GNX393217:GNX458751 GXT393217:GXT458751 HHP393217:HHP458751 HRL393217:HRL458751 IBH393217:IBH458751 ILD393217:ILD458751 IUZ393217:IUZ458751 JEV393217:JEV458751 JOR393217:JOR458751 JYN393217:JYN458751 KIJ393217:KIJ458751 KSF393217:KSF458751 LCB393217:LCB458751 LLX393217:LLX458751 LVT393217:LVT458751 MFP393217:MFP458751 MPL393217:MPL458751 MZH393217:MZH458751 NJD393217:NJD458751 NSZ393217:NSZ458751 OCV393217:OCV458751 OMR393217:OMR458751 OWN393217:OWN458751 PGJ393217:PGJ458751 PQF393217:PQF458751 QAB393217:QAB458751 QJX393217:QJX458751 QTT393217:QTT458751 RDP393217:RDP458751 RNL393217:RNL458751 RXH393217:RXH458751 SHD393217:SHD458751 SQZ393217:SQZ458751 TAV393217:TAV458751 TKR393217:TKR458751 TUN393217:TUN458751 UEJ393217:UEJ458751 UOF393217:UOF458751 UYB393217:UYB458751 VHX393217:VHX458751 VRT393217:VRT458751 WBP393217:WBP458751 WLL393217:WLL458751 WVH393217:WVH458751 TUN983041:TUN1048576 IV458753:IV524287 SR458753:SR524287 ACN458753:ACN524287 AMJ458753:AMJ524287 AWF458753:AWF524287 BGB458753:BGB524287 BPX458753:BPX524287 BZT458753:BZT524287 CJP458753:CJP524287 CTL458753:CTL524287 DDH458753:DDH524287 DND458753:DND524287 DWZ458753:DWZ524287 EGV458753:EGV524287 EQR458753:EQR524287 FAN458753:FAN524287 FKJ458753:FKJ524287 FUF458753:FUF524287 GEB458753:GEB524287 GNX458753:GNX524287 GXT458753:GXT524287 HHP458753:HHP524287 HRL458753:HRL524287 IBH458753:IBH524287 ILD458753:ILD524287 IUZ458753:IUZ524287 JEV458753:JEV524287 JOR458753:JOR524287 JYN458753:JYN524287 KIJ458753:KIJ524287 KSF458753:KSF524287 LCB458753:LCB524287 LLX458753:LLX524287 LVT458753:LVT524287 MFP458753:MFP524287 MPL458753:MPL524287 MZH458753:MZH524287 NJD458753:NJD524287 NSZ458753:NSZ524287 OCV458753:OCV524287 OMR458753:OMR524287 OWN458753:OWN524287 PGJ458753:PGJ524287 PQF458753:PQF524287 QAB458753:QAB524287 QJX458753:QJX524287 QTT458753:QTT524287 RDP458753:RDP524287 RNL458753:RNL524287 RXH458753:RXH524287 SHD458753:SHD524287 SQZ458753:SQZ524287 TAV458753:TAV524287 TKR458753:TKR524287 TUN458753:TUN524287 UEJ458753:UEJ524287 UOF458753:UOF524287 UYB458753:UYB524287 VHX458753:VHX524287 VRT458753:VRT524287 WBP458753:WBP524287 WLL458753:WLL524287 WVH458753:WVH524287 UEJ983041:UEJ1048576 IV524289:IV589823 SR524289:SR589823 ACN524289:ACN589823 AMJ524289:AMJ589823 AWF524289:AWF589823 BGB524289:BGB589823 BPX524289:BPX589823 BZT524289:BZT589823 CJP524289:CJP589823 CTL524289:CTL589823 DDH524289:DDH589823 DND524289:DND589823 DWZ524289:DWZ589823 EGV524289:EGV589823 EQR524289:EQR589823 FAN524289:FAN589823 FKJ524289:FKJ589823 FUF524289:FUF589823 GEB524289:GEB589823 GNX524289:GNX589823 GXT524289:GXT589823 HHP524289:HHP589823 HRL524289:HRL589823 IBH524289:IBH589823 ILD524289:ILD589823 IUZ524289:IUZ589823 JEV524289:JEV589823 JOR524289:JOR589823 JYN524289:JYN589823 KIJ524289:KIJ589823 KSF524289:KSF589823 LCB524289:LCB589823 LLX524289:LLX589823 LVT524289:LVT589823 MFP524289:MFP589823 MPL524289:MPL589823 MZH524289:MZH589823 NJD524289:NJD589823 NSZ524289:NSZ589823 OCV524289:OCV589823 OMR524289:OMR589823 OWN524289:OWN589823 PGJ524289:PGJ589823 PQF524289:PQF589823 QAB524289:QAB589823 QJX524289:QJX589823 QTT524289:QTT589823 RDP524289:RDP589823 RNL524289:RNL589823 RXH524289:RXH589823 SHD524289:SHD589823 SQZ524289:SQZ589823 TAV524289:TAV589823 TKR524289:TKR589823 TUN524289:TUN589823 UEJ524289:UEJ589823 UOF524289:UOF589823 UYB524289:UYB589823 VHX524289:VHX589823 VRT524289:VRT589823 WBP524289:WBP589823 WLL524289:WLL589823 WVH524289:WVH589823 UOF983041:UOF1048576 IV589825:IV655359 SR589825:SR655359 ACN589825:ACN655359 AMJ589825:AMJ655359 AWF589825:AWF655359 BGB589825:BGB655359 BPX589825:BPX655359 BZT589825:BZT655359 CJP589825:CJP655359 CTL589825:CTL655359 DDH589825:DDH655359 DND589825:DND655359 DWZ589825:DWZ655359 EGV589825:EGV655359 EQR589825:EQR655359 FAN589825:FAN655359 FKJ589825:FKJ655359 FUF589825:FUF655359 GEB589825:GEB655359 GNX589825:GNX655359 GXT589825:GXT655359 HHP589825:HHP655359 HRL589825:HRL655359 IBH589825:IBH655359 ILD589825:ILD655359 IUZ589825:IUZ655359 JEV589825:JEV655359 JOR589825:JOR655359 JYN589825:JYN655359 KIJ589825:KIJ655359 KSF589825:KSF655359 LCB589825:LCB655359 LLX589825:LLX655359 LVT589825:LVT655359 MFP589825:MFP655359 MPL589825:MPL655359 MZH589825:MZH655359 NJD589825:NJD655359 NSZ589825:NSZ655359 OCV589825:OCV655359 OMR589825:OMR655359 OWN589825:OWN655359 PGJ589825:PGJ655359 PQF589825:PQF655359 QAB589825:QAB655359 QJX589825:QJX655359 QTT589825:QTT655359 RDP589825:RDP655359 RNL589825:RNL655359 RXH589825:RXH655359 SHD589825:SHD655359 SQZ589825:SQZ655359 TAV589825:TAV655359 TKR589825:TKR655359 TUN589825:TUN655359 UEJ589825:UEJ655359 UOF589825:UOF655359 UYB589825:UYB655359 VHX589825:VHX655359 VRT589825:VRT655359 WBP589825:WBP655359 WLL589825:WLL655359 WVH589825:WVH655359 UYB983041:UYB1048576 IV655361:IV720895 SR655361:SR720895 ACN655361:ACN720895 AMJ655361:AMJ720895 AWF655361:AWF720895 BGB655361:BGB720895 BPX655361:BPX720895 BZT655361:BZT720895 CJP655361:CJP720895 CTL655361:CTL720895 DDH655361:DDH720895 DND655361:DND720895 DWZ655361:DWZ720895 EGV655361:EGV720895 EQR655361:EQR720895 FAN655361:FAN720895 FKJ655361:FKJ720895 FUF655361:FUF720895 GEB655361:GEB720895 GNX655361:GNX720895 GXT655361:GXT720895 HHP655361:HHP720895 HRL655361:HRL720895 IBH655361:IBH720895 ILD655361:ILD720895 IUZ655361:IUZ720895 JEV655361:JEV720895 JOR655361:JOR720895 JYN655361:JYN720895 KIJ655361:KIJ720895 KSF655361:KSF720895 LCB655361:LCB720895 LLX655361:LLX720895 LVT655361:LVT720895 MFP655361:MFP720895 MPL655361:MPL720895 MZH655361:MZH720895 NJD655361:NJD720895 NSZ655361:NSZ720895 OCV655361:OCV720895 OMR655361:OMR720895 OWN655361:OWN720895 PGJ655361:PGJ720895 PQF655361:PQF720895 QAB655361:QAB720895 QJX655361:QJX720895 QTT655361:QTT720895 RDP655361:RDP720895 RNL655361:RNL720895 RXH655361:RXH720895 SHD655361:SHD720895 SQZ655361:SQZ720895 TAV655361:TAV720895 TKR655361:TKR720895 TUN655361:TUN720895 UEJ655361:UEJ720895 UOF655361:UOF720895 UYB655361:UYB720895 VHX655361:VHX720895 VRT655361:VRT720895 WBP655361:WBP720895 WLL655361:WLL720895 WVH655361:WVH720895 VHX983041:VHX1048576 IV720897:IV786431 SR720897:SR786431 ACN720897:ACN786431 AMJ720897:AMJ786431 AWF720897:AWF786431 BGB720897:BGB786431 BPX720897:BPX786431 BZT720897:BZT786431 CJP720897:CJP786431 CTL720897:CTL786431 DDH720897:DDH786431 DND720897:DND786431 DWZ720897:DWZ786431 EGV720897:EGV786431 EQR720897:EQR786431 FAN720897:FAN786431 FKJ720897:FKJ786431 FUF720897:FUF786431 GEB720897:GEB786431 GNX720897:GNX786431 GXT720897:GXT786431 HHP720897:HHP786431 HRL720897:HRL786431 IBH720897:IBH786431 ILD720897:ILD786431 IUZ720897:IUZ786431 JEV720897:JEV786431 JOR720897:JOR786431 JYN720897:JYN786431 KIJ720897:KIJ786431 KSF720897:KSF786431 LCB720897:LCB786431 LLX720897:LLX786431 LVT720897:LVT786431 MFP720897:MFP786431 MPL720897:MPL786431 MZH720897:MZH786431 NJD720897:NJD786431 NSZ720897:NSZ786431 OCV720897:OCV786431 OMR720897:OMR786431 OWN720897:OWN786431 PGJ720897:PGJ786431 PQF720897:PQF786431 QAB720897:QAB786431 QJX720897:QJX786431 QTT720897:QTT786431 RDP720897:RDP786431 RNL720897:RNL786431 RXH720897:RXH786431 SHD720897:SHD786431 SQZ720897:SQZ786431 TAV720897:TAV786431 TKR720897:TKR786431 TUN720897:TUN786431 UEJ720897:UEJ786431 UOF720897:UOF786431 UYB720897:UYB786431 VHX720897:VHX786431 VRT720897:VRT786431 WBP720897:WBP786431 WLL720897:WLL786431 WVH720897:WVH786431 VRT983041:VRT1048576 IV786433:IV851967 SR786433:SR851967 ACN786433:ACN851967 AMJ786433:AMJ851967 AWF786433:AWF851967 BGB786433:BGB851967 BPX786433:BPX851967 BZT786433:BZT851967 CJP786433:CJP851967 CTL786433:CTL851967 DDH786433:DDH851967 DND786433:DND851967 DWZ786433:DWZ851967 EGV786433:EGV851967 EQR786433:EQR851967 FAN786433:FAN851967 FKJ786433:FKJ851967 FUF786433:FUF851967 GEB786433:GEB851967 GNX786433:GNX851967 GXT786433:GXT851967 HHP786433:HHP851967 HRL786433:HRL851967 IBH786433:IBH851967 ILD786433:ILD851967 IUZ786433:IUZ851967 JEV786433:JEV851967 JOR786433:JOR851967 JYN786433:JYN851967 KIJ786433:KIJ851967 KSF786433:KSF851967 LCB786433:LCB851967 LLX786433:LLX851967 LVT786433:LVT851967 MFP786433:MFP851967 MPL786433:MPL851967 MZH786433:MZH851967 NJD786433:NJD851967 NSZ786433:NSZ851967 OCV786433:OCV851967 OMR786433:OMR851967 OWN786433:OWN851967 PGJ786433:PGJ851967 PQF786433:PQF851967 QAB786433:QAB851967 QJX786433:QJX851967 QTT786433:QTT851967 RDP786433:RDP851967 RNL786433:RNL851967 RXH786433:RXH851967 SHD786433:SHD851967 SQZ786433:SQZ851967 TAV786433:TAV851967 TKR786433:TKR851967 TUN786433:TUN851967 UEJ786433:UEJ851967 UOF786433:UOF851967 UYB786433:UYB851967 VHX786433:VHX851967 VRT786433:VRT851967 WBP786433:WBP851967 WLL786433:WLL851967 WVH786433:WVH851967 WBP983041:WBP1048576 IV851969:IV917503 SR851969:SR917503 ACN851969:ACN917503 AMJ851969:AMJ917503 AWF851969:AWF917503 BGB851969:BGB917503 BPX851969:BPX917503 BZT851969:BZT917503 CJP851969:CJP917503 CTL851969:CTL917503 DDH851969:DDH917503 DND851969:DND917503 DWZ851969:DWZ917503 EGV851969:EGV917503 EQR851969:EQR917503 FAN851969:FAN917503 FKJ851969:FKJ917503 FUF851969:FUF917503 GEB851969:GEB917503 GNX851969:GNX917503 GXT851969:GXT917503 HHP851969:HHP917503 HRL851969:HRL917503 IBH851969:IBH917503 ILD851969:ILD917503 IUZ851969:IUZ917503 JEV851969:JEV917503 JOR851969:JOR917503 JYN851969:JYN917503 KIJ851969:KIJ917503 KSF851969:KSF917503 LCB851969:LCB917503 LLX851969:LLX917503 LVT851969:LVT917503 MFP851969:MFP917503 MPL851969:MPL917503 MZH851969:MZH917503 NJD851969:NJD917503 NSZ851969:NSZ917503 OCV851969:OCV917503 OMR851969:OMR917503 OWN851969:OWN917503 PGJ851969:PGJ917503 PQF851969:PQF917503 QAB851969:QAB917503 QJX851969:QJX917503 QTT851969:QTT917503 RDP851969:RDP917503 RNL851969:RNL917503 RXH851969:RXH917503 SHD851969:SHD917503 SQZ851969:SQZ917503 TAV851969:TAV917503 TKR851969:TKR917503 TUN851969:TUN917503 UEJ851969:UEJ917503 UOF851969:UOF917503 UYB851969:UYB917503 VHX851969:VHX917503 VRT851969:VRT917503 WBP851969:WBP917503 WLL851969:WLL917503 WVH851969:WVH917503 WLL983041:WLL1048576 IV917505:IV983039 SR917505:SR983039 ACN917505:ACN983039 AMJ917505:AMJ983039 AWF917505:AWF983039 BGB917505:BGB983039 BPX917505:BPX983039 BZT917505:BZT983039 CJP917505:CJP983039 CTL917505:CTL983039 DDH917505:DDH983039 DND917505:DND983039 DWZ917505:DWZ983039 EGV917505:EGV983039 EQR917505:EQR983039 FAN917505:FAN983039 FKJ917505:FKJ983039 FUF917505:FUF983039 GEB917505:GEB983039 GNX917505:GNX983039 GXT917505:GXT983039 HHP917505:HHP983039 HRL917505:HRL983039 IBH917505:IBH983039 ILD917505:ILD983039 IUZ917505:IUZ983039 JEV917505:JEV983039 JOR917505:JOR983039 JYN917505:JYN983039 KIJ917505:KIJ983039 KSF917505:KSF983039 LCB917505:LCB983039 LLX917505:LLX983039 LVT917505:LVT983039 MFP917505:MFP983039 MPL917505:MPL983039 MZH917505:MZH983039 NJD917505:NJD983039 NSZ917505:NSZ983039 OCV917505:OCV983039 OMR917505:OMR983039 OWN917505:OWN983039 PGJ917505:PGJ983039 PQF917505:PQF983039 QAB917505:QAB983039 QJX917505:QJX983039 QTT917505:QTT983039 RDP917505:RDP983039 RNL917505:RNL983039 RXH917505:RXH983039 SHD917505:SHD983039 SQZ917505:SQZ983039 TAV917505:TAV983039 TKR917505:TKR983039 TUN917505:TUN983039 UEJ917505:UEJ983039 UOF917505:UOF983039 UYB917505:UYB983039 VHX917505:VHX983039 VRT917505:VRT983039 WBP917505:WBP983039 WLL917505:WLL983039 WVH917505:WVH983039 WVH983041:WVH1048576 IV983041:IV1048576 SR983041:SR1048576 ACN983041:ACN1048576 AMJ983041:AMJ1048576 AWF983041:AWF1048576 BGB983041:BGB1048576 BPX983041:BPX1048576 BZT983041:BZT1048576 CJP983041:CJP1048576 CTL983041:CTL1048576 DDH983041:DDH1048576 DND983041:DND1048576 DWZ983041:DWZ1048576 EGV983041:EGV1048576 EQR983041:EQR1048576 FAN983041:FAN1048576 FKJ983041:FKJ1048576 FUF983041:FUF1048576 GEB983041:GEB1048576 GNX983041:GNX1048576 GXT983041:GXT1048576 HHP983041:HHP1048576 HRL983041:HRL1048576 IBH983041:IBH1048576 ILD983041:ILD1048576 IUZ983041:IUZ1048576 JEV983041:JEV1048576 JOR983041:JOR1048576 JYN983041:JYN1048576 KIJ983041:KIJ1048576 KSF983041:KSF1048576 LCB983041:LCB1048576 LLX983041:LLX1048576 LVT983041:LVT1048576 MFP983041:MFP1048576 MPL983041:MPL1048576 MZH983041:MZH1048576 NJD983041:NJD1048576 NSZ983041:NSZ1048576 OCV983041:OCV1048576 OMR983041:OMR1048576 OWN983041:OWN1048576 PGJ983041:PGJ1048576 PQF983041:PQF1048576 QAB983041:QAB1048576 QJX983041:QJX1048576 QTT983041:QTT1048576 WVH2:WVH65535 WLL2:WLL65535 WBP2:WBP65535 VRT2:VRT65535 VHX2:VHX65535 UYB2:UYB65535 UOF2:UOF65535 UEJ2:UEJ65535 TUN2:TUN65535 TKR2:TKR65535 TAV2:TAV65535 SQZ2:SQZ65535 SHD2:SHD65535 RXH2:RXH65535 RNL2:RNL65535 RDP2:RDP65535 QTT2:QTT65535 QJX2:QJX65535 QAB2:QAB65535 PQF2:PQF65535 PGJ2:PGJ65535 OWN2:OWN65535 OMR2:OMR65535 OCV2:OCV65535 NSZ2:NSZ65535 NJD2:NJD65535 MZH2:MZH65535 MPL2:MPL65535 MFP2:MFP65535 LVT2:LVT65535 LLX2:LLX65535 LCB2:LCB65535 KSF2:KSF65535 KIJ2:KIJ65535 JYN2:JYN65535 JOR2:JOR65535 JEV2:JEV65535 IUZ2:IUZ65535 ILD2:ILD65535 IBH2:IBH65535 HRL2:HRL65535 HHP2:HHP65535 GXT2:GXT65535 GNX2:GNX65535 GEB2:GEB65535 FUF2:FUF65535 FKJ2:FKJ65535 FAN2:FAN65535 EQR2:EQR65535 EGV2:EGV65535 DWZ2:DWZ65535 DND2:DND65535 DDH2:DDH65535 CTL2:CTL65535 CJP2:CJP65535 BZT2:BZT65535 BPX2:BPX65535 BGB2:BGB65535 AWF2:AWF65535 AMJ2:AMJ65535 ACN2:ACN65535 SR2:SR65535 IV2:IV65535" xr:uid="{00000000-0002-0000-0200-000000000000}">
      <formula1>"Jsy"</formula1>
    </dataValidation>
  </dataValidations>
  <pageMargins left="0.75" right="0.75" top="1" bottom="1" header="0.5" footer="0.5"/>
  <pageSetup scale="65" orientation="landscape" r:id="rId1"/>
  <headerFooter alignWithMargins="0">
    <oddHeader>&amp;A</oddHeader>
    <oddFooter>Page 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B80CB-AE44-43D4-A0F2-5CA4F40DA9AD}">
  <sheetPr>
    <tabColor theme="5"/>
  </sheetPr>
  <dimension ref="A1:L170"/>
  <sheetViews>
    <sheetView zoomScale="120" zoomScaleNormal="120" workbookViewId="0">
      <selection activeCell="H1" sqref="H1:H1048576"/>
    </sheetView>
  </sheetViews>
  <sheetFormatPr defaultColWidth="15.5703125" defaultRowHeight="14.45"/>
  <cols>
    <col min="1" max="6" width="15.5703125" style="2"/>
    <col min="7" max="7" width="19.42578125" customWidth="1"/>
  </cols>
  <sheetData>
    <row r="1" spans="1:12" s="3" customFormat="1" ht="22.5" customHeight="1">
      <c r="A1" s="71" t="s">
        <v>175</v>
      </c>
      <c r="B1" s="72" t="s">
        <v>226</v>
      </c>
      <c r="C1" s="72" t="s">
        <v>227</v>
      </c>
      <c r="D1" s="72" t="s">
        <v>228</v>
      </c>
      <c r="E1" s="72" t="s">
        <v>229</v>
      </c>
      <c r="F1" s="72" t="s">
        <v>230</v>
      </c>
      <c r="G1" s="72" t="s">
        <v>231</v>
      </c>
      <c r="H1" s="73" t="s">
        <v>232</v>
      </c>
      <c r="L1" s="70"/>
    </row>
    <row r="2" spans="1:12">
      <c r="A2" s="3" t="s">
        <v>233</v>
      </c>
      <c r="B2" s="3" t="s">
        <v>234</v>
      </c>
      <c r="C2" s="3" t="s">
        <v>235</v>
      </c>
      <c r="D2" s="3" t="s">
        <v>236</v>
      </c>
      <c r="E2" s="3" t="s">
        <v>237</v>
      </c>
      <c r="F2" s="3" t="s">
        <v>238</v>
      </c>
      <c r="G2" s="74">
        <v>10350</v>
      </c>
      <c r="H2" s="70">
        <v>45957</v>
      </c>
      <c r="J2" s="17"/>
      <c r="L2" s="17"/>
    </row>
    <row r="3" spans="1:12">
      <c r="A3" s="3" t="s">
        <v>239</v>
      </c>
      <c r="B3" s="3" t="s">
        <v>240</v>
      </c>
      <c r="C3" s="3" t="s">
        <v>241</v>
      </c>
      <c r="D3" s="3" t="s">
        <v>236</v>
      </c>
      <c r="E3" s="3" t="s">
        <v>237</v>
      </c>
      <c r="F3" s="3" t="s">
        <v>236</v>
      </c>
      <c r="G3" s="74">
        <v>15000</v>
      </c>
      <c r="H3" s="70">
        <v>45935</v>
      </c>
      <c r="J3" s="17"/>
      <c r="L3" s="17"/>
    </row>
    <row r="4" spans="1:12">
      <c r="A4" s="3" t="s">
        <v>242</v>
      </c>
      <c r="B4" s="3" t="s">
        <v>243</v>
      </c>
      <c r="C4" s="3" t="s">
        <v>241</v>
      </c>
      <c r="D4" s="3" t="s">
        <v>236</v>
      </c>
      <c r="E4" s="3" t="s">
        <v>237</v>
      </c>
      <c r="F4" s="3" t="s">
        <v>238</v>
      </c>
      <c r="G4" s="74">
        <v>26000</v>
      </c>
      <c r="H4" s="70">
        <v>45852</v>
      </c>
      <c r="J4" s="17"/>
      <c r="L4" s="17"/>
    </row>
    <row r="5" spans="1:12">
      <c r="A5" s="3" t="s">
        <v>239</v>
      </c>
      <c r="B5" s="3" t="s">
        <v>244</v>
      </c>
      <c r="C5" s="3" t="s">
        <v>242</v>
      </c>
      <c r="D5" s="3" t="s">
        <v>238</v>
      </c>
      <c r="E5" s="3" t="s">
        <v>237</v>
      </c>
      <c r="F5" s="3" t="s">
        <v>238</v>
      </c>
      <c r="G5" s="74">
        <v>55564</v>
      </c>
      <c r="H5" s="70">
        <v>45998</v>
      </c>
      <c r="J5" s="17"/>
    </row>
    <row r="6" spans="1:12">
      <c r="A6" s="3" t="s">
        <v>242</v>
      </c>
      <c r="B6" s="3" t="s">
        <v>245</v>
      </c>
      <c r="C6" s="3" t="s">
        <v>246</v>
      </c>
      <c r="D6" s="3" t="s">
        <v>236</v>
      </c>
      <c r="E6" s="3" t="s">
        <v>237</v>
      </c>
      <c r="F6" s="3" t="s">
        <v>238</v>
      </c>
      <c r="G6" s="74">
        <v>10072.459999999999</v>
      </c>
      <c r="H6" s="70">
        <v>45739</v>
      </c>
    </row>
    <row r="7" spans="1:12">
      <c r="A7" s="3" t="s">
        <v>239</v>
      </c>
      <c r="B7" s="3" t="s">
        <v>244</v>
      </c>
      <c r="C7" s="3" t="s">
        <v>247</v>
      </c>
      <c r="D7" s="3" t="s">
        <v>236</v>
      </c>
      <c r="E7" s="3" t="s">
        <v>237</v>
      </c>
      <c r="F7" s="3" t="s">
        <v>238</v>
      </c>
      <c r="G7" s="74">
        <v>65070</v>
      </c>
      <c r="H7" s="70">
        <v>45819</v>
      </c>
      <c r="J7" s="17"/>
    </row>
    <row r="8" spans="1:12">
      <c r="A8" s="3" t="s">
        <v>248</v>
      </c>
      <c r="B8" s="3" t="s">
        <v>234</v>
      </c>
      <c r="C8" s="3" t="s">
        <v>249</v>
      </c>
      <c r="D8" s="3" t="s">
        <v>237</v>
      </c>
      <c r="E8" s="3" t="s">
        <v>238</v>
      </c>
      <c r="F8" s="3" t="s">
        <v>238</v>
      </c>
      <c r="G8" s="74">
        <v>17379.96</v>
      </c>
      <c r="H8" s="70">
        <v>45703</v>
      </c>
    </row>
    <row r="9" spans="1:12">
      <c r="A9" s="3" t="s">
        <v>250</v>
      </c>
      <c r="B9" s="3" t="s">
        <v>244</v>
      </c>
      <c r="C9" s="3" t="s">
        <v>247</v>
      </c>
      <c r="D9" s="3" t="s">
        <v>236</v>
      </c>
      <c r="E9" s="3" t="s">
        <v>237</v>
      </c>
      <c r="F9" s="3" t="s">
        <v>238</v>
      </c>
      <c r="G9" s="74">
        <v>59644</v>
      </c>
      <c r="H9" s="70">
        <v>45870</v>
      </c>
    </row>
    <row r="10" spans="1:12">
      <c r="A10" s="3" t="s">
        <v>239</v>
      </c>
      <c r="B10" s="3" t="s">
        <v>245</v>
      </c>
      <c r="C10" s="3" t="s">
        <v>251</v>
      </c>
      <c r="D10" s="3" t="s">
        <v>238</v>
      </c>
      <c r="E10" s="3" t="s">
        <v>238</v>
      </c>
      <c r="F10" s="3" t="s">
        <v>238</v>
      </c>
      <c r="G10" s="74">
        <v>222</v>
      </c>
      <c r="H10" s="70">
        <v>45891</v>
      </c>
    </row>
    <row r="11" spans="1:12">
      <c r="A11" s="3" t="s">
        <v>239</v>
      </c>
      <c r="B11" s="3" t="s">
        <v>245</v>
      </c>
      <c r="C11" s="3" t="s">
        <v>246</v>
      </c>
      <c r="D11" s="3" t="s">
        <v>238</v>
      </c>
      <c r="E11" s="3" t="s">
        <v>238</v>
      </c>
      <c r="F11" s="3" t="s">
        <v>237</v>
      </c>
      <c r="G11" s="74">
        <v>9887</v>
      </c>
      <c r="H11" s="70">
        <v>45951</v>
      </c>
    </row>
    <row r="12" spans="1:12">
      <c r="A12" s="3" t="s">
        <v>242</v>
      </c>
      <c r="B12" s="3" t="s">
        <v>234</v>
      </c>
      <c r="C12" s="3" t="s">
        <v>252</v>
      </c>
      <c r="D12" s="3" t="s">
        <v>236</v>
      </c>
      <c r="E12" s="3" t="s">
        <v>238</v>
      </c>
      <c r="F12" s="3" t="s">
        <v>237</v>
      </c>
      <c r="G12" s="74">
        <v>10588</v>
      </c>
      <c r="H12" s="70">
        <v>45786</v>
      </c>
    </row>
    <row r="13" spans="1:12">
      <c r="A13" s="3" t="s">
        <v>242</v>
      </c>
      <c r="B13" s="3" t="s">
        <v>240</v>
      </c>
      <c r="C13" s="3" t="s">
        <v>253</v>
      </c>
      <c r="D13" s="3" t="s">
        <v>238</v>
      </c>
      <c r="E13" s="3" t="s">
        <v>236</v>
      </c>
      <c r="F13" s="3" t="s">
        <v>238</v>
      </c>
      <c r="G13" s="74">
        <v>14069.5</v>
      </c>
      <c r="H13" s="70">
        <v>45968</v>
      </c>
    </row>
    <row r="14" spans="1:12">
      <c r="A14" s="3" t="s">
        <v>242</v>
      </c>
      <c r="B14" s="3" t="s">
        <v>244</v>
      </c>
      <c r="C14" s="3" t="s">
        <v>254</v>
      </c>
      <c r="D14" s="3" t="s">
        <v>236</v>
      </c>
      <c r="E14" s="3" t="s">
        <v>237</v>
      </c>
      <c r="F14" s="3" t="s">
        <v>238</v>
      </c>
      <c r="G14" s="74">
        <v>10561.5</v>
      </c>
      <c r="H14" s="70">
        <v>45860</v>
      </c>
    </row>
    <row r="15" spans="1:12">
      <c r="A15" s="3" t="s">
        <v>239</v>
      </c>
      <c r="B15" s="3" t="s">
        <v>244</v>
      </c>
      <c r="C15" s="3" t="s">
        <v>242</v>
      </c>
      <c r="D15" s="3" t="s">
        <v>236</v>
      </c>
      <c r="E15" s="3" t="s">
        <v>237</v>
      </c>
      <c r="F15" s="3" t="s">
        <v>236</v>
      </c>
      <c r="G15" s="74">
        <v>11533</v>
      </c>
      <c r="H15" s="70">
        <v>45858</v>
      </c>
    </row>
    <row r="16" spans="1:12">
      <c r="A16" s="3" t="s">
        <v>242</v>
      </c>
      <c r="B16" s="3" t="s">
        <v>244</v>
      </c>
      <c r="C16" s="3" t="s">
        <v>255</v>
      </c>
      <c r="D16" s="3" t="s">
        <v>236</v>
      </c>
      <c r="E16" s="3" t="s">
        <v>237</v>
      </c>
      <c r="F16" s="3" t="s">
        <v>236</v>
      </c>
      <c r="G16" s="74">
        <v>11299</v>
      </c>
      <c r="H16" s="70">
        <v>45875</v>
      </c>
    </row>
    <row r="17" spans="1:8">
      <c r="A17" s="3" t="s">
        <v>256</v>
      </c>
      <c r="B17" s="3" t="s">
        <v>240</v>
      </c>
      <c r="C17" s="3" t="s">
        <v>249</v>
      </c>
      <c r="D17" s="3" t="s">
        <v>238</v>
      </c>
      <c r="E17" s="3" t="s">
        <v>236</v>
      </c>
      <c r="F17" s="3" t="s">
        <v>238</v>
      </c>
      <c r="G17" s="74">
        <v>13992.59</v>
      </c>
      <c r="H17" s="70">
        <v>45718</v>
      </c>
    </row>
    <row r="18" spans="1:8">
      <c r="A18" s="3" t="s">
        <v>242</v>
      </c>
      <c r="B18" s="3" t="s">
        <v>243</v>
      </c>
      <c r="C18" s="3" t="s">
        <v>241</v>
      </c>
      <c r="D18" s="3" t="s">
        <v>236</v>
      </c>
      <c r="E18" s="3" t="s">
        <v>237</v>
      </c>
      <c r="F18" s="3" t="s">
        <v>238</v>
      </c>
      <c r="G18" s="74">
        <v>12346</v>
      </c>
      <c r="H18" s="70">
        <v>45736</v>
      </c>
    </row>
    <row r="19" spans="1:8">
      <c r="A19" s="3" t="s">
        <v>233</v>
      </c>
      <c r="B19" s="3" t="s">
        <v>257</v>
      </c>
      <c r="C19" s="3" t="s">
        <v>252</v>
      </c>
      <c r="D19" s="3" t="s">
        <v>236</v>
      </c>
      <c r="E19" s="3" t="s">
        <v>237</v>
      </c>
      <c r="F19" s="3" t="s">
        <v>238</v>
      </c>
      <c r="G19" s="74">
        <v>6466.35</v>
      </c>
      <c r="H19" s="70">
        <v>45695</v>
      </c>
    </row>
    <row r="20" spans="1:8">
      <c r="A20" s="3" t="s">
        <v>258</v>
      </c>
      <c r="B20" s="3" t="s">
        <v>240</v>
      </c>
      <c r="C20" s="3" t="s">
        <v>249</v>
      </c>
      <c r="D20" s="3" t="s">
        <v>238</v>
      </c>
      <c r="E20" s="3" t="s">
        <v>238</v>
      </c>
      <c r="F20" s="3" t="s">
        <v>238</v>
      </c>
      <c r="G20" s="74">
        <v>10600</v>
      </c>
      <c r="H20" s="70">
        <v>46014</v>
      </c>
    </row>
    <row r="21" spans="1:8">
      <c r="A21" s="3" t="s">
        <v>242</v>
      </c>
      <c r="B21" s="3" t="s">
        <v>257</v>
      </c>
      <c r="C21" s="3" t="s">
        <v>259</v>
      </c>
      <c r="D21" s="3" t="s">
        <v>238</v>
      </c>
      <c r="E21" s="3" t="s">
        <v>238</v>
      </c>
      <c r="F21" s="3" t="s">
        <v>238</v>
      </c>
      <c r="G21" s="74">
        <v>288</v>
      </c>
      <c r="H21" s="70">
        <v>45738</v>
      </c>
    </row>
    <row r="22" spans="1:8">
      <c r="A22" s="3" t="s">
        <v>260</v>
      </c>
      <c r="B22" s="3" t="s">
        <v>240</v>
      </c>
      <c r="C22" s="3" t="s">
        <v>249</v>
      </c>
      <c r="D22" s="3" t="s">
        <v>238</v>
      </c>
      <c r="E22" s="3" t="s">
        <v>238</v>
      </c>
      <c r="F22" s="3" t="s">
        <v>238</v>
      </c>
      <c r="G22" s="74">
        <v>10661.6</v>
      </c>
      <c r="H22" s="70">
        <v>45931</v>
      </c>
    </row>
    <row r="23" spans="1:8">
      <c r="A23" s="3" t="s">
        <v>239</v>
      </c>
      <c r="B23" s="3" t="s">
        <v>244</v>
      </c>
      <c r="C23" s="3" t="s">
        <v>255</v>
      </c>
      <c r="D23" s="3" t="s">
        <v>238</v>
      </c>
      <c r="E23" s="3" t="s">
        <v>238</v>
      </c>
      <c r="F23" s="3" t="s">
        <v>238</v>
      </c>
      <c r="G23" s="74">
        <v>11792</v>
      </c>
      <c r="H23" s="70">
        <v>46014</v>
      </c>
    </row>
    <row r="24" spans="1:8">
      <c r="A24" s="3" t="s">
        <v>242</v>
      </c>
      <c r="B24" s="3" t="s">
        <v>243</v>
      </c>
      <c r="C24" s="3" t="s">
        <v>241</v>
      </c>
      <c r="D24" s="3" t="s">
        <v>236</v>
      </c>
      <c r="E24" s="3" t="s">
        <v>237</v>
      </c>
      <c r="F24" s="3" t="s">
        <v>238</v>
      </c>
      <c r="G24" s="74">
        <v>332</v>
      </c>
      <c r="H24" s="70">
        <v>45956</v>
      </c>
    </row>
    <row r="25" spans="1:8">
      <c r="A25" s="3" t="s">
        <v>233</v>
      </c>
      <c r="B25" s="3" t="s">
        <v>234</v>
      </c>
      <c r="C25" s="3" t="s">
        <v>235</v>
      </c>
      <c r="D25" s="3" t="s">
        <v>236</v>
      </c>
      <c r="E25" s="3" t="s">
        <v>238</v>
      </c>
      <c r="F25" s="3" t="s">
        <v>238</v>
      </c>
      <c r="G25" s="74">
        <v>13426.5</v>
      </c>
      <c r="H25" s="70">
        <v>45724</v>
      </c>
    </row>
    <row r="26" spans="1:8">
      <c r="A26" s="3" t="s">
        <v>256</v>
      </c>
      <c r="B26" s="3" t="s">
        <v>240</v>
      </c>
      <c r="C26" s="3" t="s">
        <v>249</v>
      </c>
      <c r="D26" s="3" t="s">
        <v>238</v>
      </c>
      <c r="E26" s="3" t="s">
        <v>236</v>
      </c>
      <c r="F26" s="3" t="s">
        <v>238</v>
      </c>
      <c r="G26" s="74">
        <v>12842</v>
      </c>
      <c r="H26" s="70">
        <v>45742</v>
      </c>
    </row>
    <row r="27" spans="1:8">
      <c r="A27" s="3" t="s">
        <v>239</v>
      </c>
      <c r="B27" s="3" t="s">
        <v>244</v>
      </c>
      <c r="C27" s="3" t="s">
        <v>254</v>
      </c>
      <c r="D27" s="3" t="s">
        <v>236</v>
      </c>
      <c r="E27" s="3" t="s">
        <v>238</v>
      </c>
      <c r="F27" s="3" t="s">
        <v>238</v>
      </c>
      <c r="G27" s="74">
        <v>9420.5</v>
      </c>
      <c r="H27" s="70">
        <v>46014</v>
      </c>
    </row>
    <row r="28" spans="1:8">
      <c r="A28" s="3" t="s">
        <v>233</v>
      </c>
      <c r="B28" s="3" t="s">
        <v>257</v>
      </c>
      <c r="C28" s="3" t="s">
        <v>252</v>
      </c>
      <c r="D28" s="3" t="s">
        <v>236</v>
      </c>
      <c r="E28" s="3" t="s">
        <v>237</v>
      </c>
      <c r="F28" s="3" t="s">
        <v>238</v>
      </c>
      <c r="G28" s="74">
        <v>50061</v>
      </c>
      <c r="H28" s="70">
        <v>45777</v>
      </c>
    </row>
    <row r="29" spans="1:8">
      <c r="A29" s="3" t="s">
        <v>242</v>
      </c>
      <c r="B29" s="3" t="s">
        <v>257</v>
      </c>
      <c r="C29" s="3" t="s">
        <v>261</v>
      </c>
      <c r="D29" s="3" t="s">
        <v>238</v>
      </c>
      <c r="E29" s="3" t="s">
        <v>238</v>
      </c>
      <c r="F29" s="3" t="s">
        <v>238</v>
      </c>
      <c r="G29" s="74">
        <v>16375</v>
      </c>
      <c r="H29" s="70">
        <v>45949</v>
      </c>
    </row>
    <row r="30" spans="1:8">
      <c r="A30" s="3" t="s">
        <v>262</v>
      </c>
      <c r="B30" s="3" t="s">
        <v>240</v>
      </c>
      <c r="C30" s="3" t="s">
        <v>253</v>
      </c>
      <c r="D30" s="3" t="s">
        <v>238</v>
      </c>
      <c r="E30" s="3" t="s">
        <v>238</v>
      </c>
      <c r="F30" s="3" t="s">
        <v>238</v>
      </c>
      <c r="G30" s="74">
        <v>43730.53</v>
      </c>
      <c r="H30" s="70">
        <v>45990</v>
      </c>
    </row>
    <row r="31" spans="1:8">
      <c r="A31" s="3" t="s">
        <v>242</v>
      </c>
      <c r="B31" s="3" t="s">
        <v>243</v>
      </c>
      <c r="C31" s="3" t="s">
        <v>241</v>
      </c>
      <c r="D31" s="3" t="s">
        <v>236</v>
      </c>
      <c r="E31" s="3" t="s">
        <v>238</v>
      </c>
      <c r="F31" s="3" t="s">
        <v>238</v>
      </c>
      <c r="G31" s="74">
        <v>63565</v>
      </c>
      <c r="H31" s="70">
        <v>45871</v>
      </c>
    </row>
    <row r="32" spans="1:8">
      <c r="A32" s="3" t="s">
        <v>239</v>
      </c>
      <c r="B32" s="3" t="s">
        <v>234</v>
      </c>
      <c r="C32" s="3" t="s">
        <v>249</v>
      </c>
      <c r="D32" s="3" t="s">
        <v>238</v>
      </c>
      <c r="E32" s="3" t="s">
        <v>238</v>
      </c>
      <c r="F32" s="3" t="s">
        <v>238</v>
      </c>
      <c r="G32" s="74">
        <v>49928</v>
      </c>
      <c r="H32" s="70">
        <v>45895</v>
      </c>
    </row>
    <row r="33" spans="1:8">
      <c r="A33" s="3" t="s">
        <v>242</v>
      </c>
      <c r="B33" s="3" t="s">
        <v>234</v>
      </c>
      <c r="C33" s="3" t="s">
        <v>241</v>
      </c>
      <c r="D33" s="3" t="s">
        <v>238</v>
      </c>
      <c r="E33" s="3" t="s">
        <v>238</v>
      </c>
      <c r="F33" s="3" t="s">
        <v>238</v>
      </c>
      <c r="G33" s="74">
        <v>32917.99</v>
      </c>
      <c r="H33" s="70">
        <v>45711</v>
      </c>
    </row>
    <row r="34" spans="1:8">
      <c r="A34" s="3" t="s">
        <v>239</v>
      </c>
      <c r="B34" s="3" t="s">
        <v>244</v>
      </c>
      <c r="C34" s="3" t="s">
        <v>254</v>
      </c>
      <c r="D34" s="3" t="s">
        <v>238</v>
      </c>
      <c r="E34" s="3" t="s">
        <v>238</v>
      </c>
      <c r="F34" s="3" t="s">
        <v>238</v>
      </c>
      <c r="G34" s="74">
        <v>12000</v>
      </c>
      <c r="H34" s="70">
        <v>45890</v>
      </c>
    </row>
    <row r="35" spans="1:8">
      <c r="A35" s="3" t="s">
        <v>242</v>
      </c>
      <c r="B35" s="3" t="s">
        <v>243</v>
      </c>
      <c r="C35" s="3" t="s">
        <v>241</v>
      </c>
      <c r="D35" s="3" t="s">
        <v>236</v>
      </c>
      <c r="E35" s="3" t="s">
        <v>238</v>
      </c>
      <c r="F35" s="3" t="s">
        <v>238</v>
      </c>
      <c r="G35" s="74">
        <v>10651.5</v>
      </c>
      <c r="H35" s="70">
        <v>45740</v>
      </c>
    </row>
    <row r="36" spans="1:8">
      <c r="A36" s="3" t="s">
        <v>239</v>
      </c>
      <c r="B36" s="3" t="s">
        <v>245</v>
      </c>
      <c r="C36" s="3" t="s">
        <v>247</v>
      </c>
      <c r="D36" s="3" t="s">
        <v>236</v>
      </c>
      <c r="E36" s="3" t="s">
        <v>238</v>
      </c>
      <c r="F36" s="3" t="s">
        <v>238</v>
      </c>
      <c r="G36" s="74">
        <v>2323</v>
      </c>
      <c r="H36" s="70">
        <v>46017</v>
      </c>
    </row>
    <row r="37" spans="1:8">
      <c r="A37" s="3" t="s">
        <v>233</v>
      </c>
      <c r="B37" s="3" t="s">
        <v>257</v>
      </c>
      <c r="C37" s="3" t="s">
        <v>252</v>
      </c>
      <c r="D37" s="3" t="s">
        <v>236</v>
      </c>
      <c r="E37" s="3" t="s">
        <v>237</v>
      </c>
      <c r="F37" s="3" t="s">
        <v>238</v>
      </c>
      <c r="G37" s="74">
        <v>15389.5</v>
      </c>
      <c r="H37" s="70">
        <v>45959</v>
      </c>
    </row>
    <row r="38" spans="1:8">
      <c r="A38" s="3" t="s">
        <v>233</v>
      </c>
      <c r="B38" s="3" t="s">
        <v>234</v>
      </c>
      <c r="C38" s="3" t="s">
        <v>241</v>
      </c>
      <c r="D38" s="3" t="s">
        <v>236</v>
      </c>
      <c r="E38" s="3" t="s">
        <v>237</v>
      </c>
      <c r="F38" s="3" t="s">
        <v>238</v>
      </c>
      <c r="G38" s="74">
        <v>12921.95</v>
      </c>
      <c r="H38" s="70">
        <v>46001</v>
      </c>
    </row>
    <row r="39" spans="1:8">
      <c r="A39" s="3" t="s">
        <v>233</v>
      </c>
      <c r="B39" s="3" t="s">
        <v>257</v>
      </c>
      <c r="C39" s="3" t="s">
        <v>241</v>
      </c>
      <c r="D39" s="3" t="s">
        <v>236</v>
      </c>
      <c r="E39" s="3" t="s">
        <v>237</v>
      </c>
      <c r="F39" s="3" t="s">
        <v>238</v>
      </c>
      <c r="G39" s="74">
        <v>13341.5</v>
      </c>
      <c r="H39" s="70">
        <v>45770</v>
      </c>
    </row>
    <row r="40" spans="1:8">
      <c r="A40" s="3" t="s">
        <v>239</v>
      </c>
      <c r="B40" s="3" t="s">
        <v>240</v>
      </c>
      <c r="C40" s="3" t="s">
        <v>241</v>
      </c>
      <c r="D40" s="3" t="s">
        <v>236</v>
      </c>
      <c r="E40" s="3" t="s">
        <v>237</v>
      </c>
      <c r="F40" s="3" t="s">
        <v>236</v>
      </c>
      <c r="G40" s="74">
        <v>9865</v>
      </c>
      <c r="H40" s="70">
        <v>45746</v>
      </c>
    </row>
    <row r="41" spans="1:8">
      <c r="A41" s="3" t="s">
        <v>242</v>
      </c>
      <c r="B41" s="3" t="s">
        <v>263</v>
      </c>
      <c r="C41" s="3" t="s">
        <v>242</v>
      </c>
      <c r="D41" s="3" t="s">
        <v>236</v>
      </c>
      <c r="E41" s="3" t="s">
        <v>237</v>
      </c>
      <c r="F41" s="3" t="s">
        <v>238</v>
      </c>
      <c r="G41" s="74">
        <v>6943.91</v>
      </c>
      <c r="H41" s="70">
        <v>45659</v>
      </c>
    </row>
    <row r="42" spans="1:8">
      <c r="A42" s="3" t="s">
        <v>239</v>
      </c>
      <c r="B42" s="3" t="s">
        <v>234</v>
      </c>
      <c r="C42" s="3" t="s">
        <v>252</v>
      </c>
      <c r="D42" s="3" t="s">
        <v>236</v>
      </c>
      <c r="E42" s="3" t="s">
        <v>238</v>
      </c>
      <c r="F42" s="3" t="s">
        <v>238</v>
      </c>
      <c r="G42" s="74">
        <v>11373</v>
      </c>
      <c r="H42" s="70">
        <v>45849</v>
      </c>
    </row>
    <row r="43" spans="1:8">
      <c r="A43" s="3" t="s">
        <v>239</v>
      </c>
      <c r="B43" s="3" t="s">
        <v>240</v>
      </c>
      <c r="C43" s="3" t="s">
        <v>253</v>
      </c>
      <c r="D43" s="3" t="s">
        <v>238</v>
      </c>
      <c r="E43" s="3" t="s">
        <v>238</v>
      </c>
      <c r="F43" s="3" t="s">
        <v>238</v>
      </c>
      <c r="G43" s="74">
        <v>65382</v>
      </c>
      <c r="H43" s="70">
        <v>45995</v>
      </c>
    </row>
    <row r="44" spans="1:8">
      <c r="A44" s="3" t="s">
        <v>242</v>
      </c>
      <c r="B44" s="3" t="s">
        <v>257</v>
      </c>
      <c r="C44" s="3" t="s">
        <v>259</v>
      </c>
      <c r="D44" s="3" t="s">
        <v>236</v>
      </c>
      <c r="E44" s="3" t="s">
        <v>237</v>
      </c>
      <c r="F44" s="3" t="s">
        <v>236</v>
      </c>
      <c r="G44" s="74">
        <v>11299</v>
      </c>
      <c r="H44" s="70">
        <v>45958</v>
      </c>
    </row>
    <row r="45" spans="1:8">
      <c r="A45" s="3" t="s">
        <v>242</v>
      </c>
      <c r="B45" s="3" t="s">
        <v>243</v>
      </c>
      <c r="C45" s="3" t="s">
        <v>241</v>
      </c>
      <c r="D45" s="3" t="s">
        <v>236</v>
      </c>
      <c r="E45" s="3" t="s">
        <v>238</v>
      </c>
      <c r="F45" s="3" t="s">
        <v>238</v>
      </c>
      <c r="G45" s="74">
        <v>14464</v>
      </c>
      <c r="H45" s="70">
        <v>45919</v>
      </c>
    </row>
    <row r="46" spans="1:8">
      <c r="A46" s="3" t="s">
        <v>242</v>
      </c>
      <c r="B46" s="3" t="s">
        <v>244</v>
      </c>
      <c r="C46" s="3" t="s">
        <v>254</v>
      </c>
      <c r="D46" s="3" t="s">
        <v>238</v>
      </c>
      <c r="E46" s="3" t="s">
        <v>238</v>
      </c>
      <c r="F46" s="3" t="s">
        <v>238</v>
      </c>
      <c r="G46" s="74">
        <v>20796</v>
      </c>
      <c r="H46" s="70">
        <v>45679</v>
      </c>
    </row>
    <row r="47" spans="1:8">
      <c r="A47" s="3" t="s">
        <v>233</v>
      </c>
      <c r="B47" s="3" t="s">
        <v>234</v>
      </c>
      <c r="C47" s="3" t="s">
        <v>235</v>
      </c>
      <c r="D47" s="3" t="s">
        <v>236</v>
      </c>
      <c r="E47" s="3" t="s">
        <v>237</v>
      </c>
      <c r="F47" s="3" t="s">
        <v>238</v>
      </c>
      <c r="G47" s="74">
        <v>12144.5</v>
      </c>
      <c r="H47" s="70">
        <v>45736</v>
      </c>
    </row>
    <row r="48" spans="1:8">
      <c r="A48" s="3" t="s">
        <v>256</v>
      </c>
      <c r="B48" s="3" t="s">
        <v>240</v>
      </c>
      <c r="C48" s="3" t="s">
        <v>249</v>
      </c>
      <c r="D48" s="3" t="s">
        <v>238</v>
      </c>
      <c r="E48" s="3" t="s">
        <v>236</v>
      </c>
      <c r="F48" s="3" t="s">
        <v>238</v>
      </c>
      <c r="G48" s="74">
        <v>11000</v>
      </c>
      <c r="H48" s="70">
        <v>45840</v>
      </c>
    </row>
    <row r="49" spans="1:8">
      <c r="A49" s="3" t="s">
        <v>233</v>
      </c>
      <c r="B49" s="3" t="s">
        <v>257</v>
      </c>
      <c r="C49" s="3" t="s">
        <v>252</v>
      </c>
      <c r="D49" s="3" t="s">
        <v>236</v>
      </c>
      <c r="E49" s="3" t="s">
        <v>237</v>
      </c>
      <c r="F49" s="3" t="s">
        <v>238</v>
      </c>
      <c r="G49" s="74">
        <v>12624</v>
      </c>
      <c r="H49" s="70">
        <v>45867</v>
      </c>
    </row>
    <row r="50" spans="1:8">
      <c r="A50" s="3" t="s">
        <v>239</v>
      </c>
      <c r="B50" s="3" t="s">
        <v>245</v>
      </c>
      <c r="C50" s="3" t="s">
        <v>247</v>
      </c>
      <c r="D50" s="3" t="s">
        <v>236</v>
      </c>
      <c r="E50" s="3" t="s">
        <v>238</v>
      </c>
      <c r="F50" s="3" t="s">
        <v>238</v>
      </c>
      <c r="G50" s="74">
        <v>7964.5</v>
      </c>
      <c r="H50" s="70">
        <v>45932</v>
      </c>
    </row>
    <row r="51" spans="1:8">
      <c r="A51" s="3" t="s">
        <v>258</v>
      </c>
      <c r="B51" s="3" t="s">
        <v>240</v>
      </c>
      <c r="C51" s="3" t="s">
        <v>249</v>
      </c>
      <c r="D51" s="3" t="s">
        <v>238</v>
      </c>
      <c r="E51" s="3" t="s">
        <v>238</v>
      </c>
      <c r="F51" s="3" t="s">
        <v>238</v>
      </c>
      <c r="G51" s="74">
        <v>11943.41</v>
      </c>
      <c r="H51" s="70">
        <v>45997</v>
      </c>
    </row>
    <row r="52" spans="1:8">
      <c r="A52" s="3" t="s">
        <v>256</v>
      </c>
      <c r="B52" s="3" t="s">
        <v>264</v>
      </c>
      <c r="C52" s="3" t="s">
        <v>254</v>
      </c>
      <c r="D52" s="3" t="s">
        <v>238</v>
      </c>
      <c r="E52" s="3" t="s">
        <v>236</v>
      </c>
      <c r="F52" s="3" t="s">
        <v>238</v>
      </c>
      <c r="G52" s="74">
        <v>12790</v>
      </c>
      <c r="H52" s="70">
        <v>45943</v>
      </c>
    </row>
    <row r="53" spans="1:8">
      <c r="A53" s="3" t="s">
        <v>239</v>
      </c>
      <c r="B53" s="3" t="s">
        <v>234</v>
      </c>
      <c r="C53" s="3" t="s">
        <v>249</v>
      </c>
      <c r="D53" s="3" t="s">
        <v>236</v>
      </c>
      <c r="E53" s="3" t="s">
        <v>238</v>
      </c>
      <c r="F53" s="3" t="s">
        <v>238</v>
      </c>
      <c r="G53" s="74">
        <v>10750</v>
      </c>
      <c r="H53" s="70">
        <v>45902</v>
      </c>
    </row>
    <row r="54" spans="1:8">
      <c r="A54" s="3" t="s">
        <v>242</v>
      </c>
      <c r="B54" s="3" t="s">
        <v>244</v>
      </c>
      <c r="C54" s="3" t="s">
        <v>255</v>
      </c>
      <c r="D54" s="3" t="s">
        <v>238</v>
      </c>
      <c r="E54" s="3" t="s">
        <v>238</v>
      </c>
      <c r="F54" s="3" t="s">
        <v>238</v>
      </c>
      <c r="G54" s="74">
        <v>49833</v>
      </c>
      <c r="H54" s="70">
        <v>45721</v>
      </c>
    </row>
    <row r="55" spans="1:8">
      <c r="A55" s="3" t="s">
        <v>242</v>
      </c>
      <c r="B55" s="3" t="s">
        <v>244</v>
      </c>
      <c r="C55" s="3" t="s">
        <v>254</v>
      </c>
      <c r="D55" s="3" t="s">
        <v>238</v>
      </c>
      <c r="E55" s="3" t="s">
        <v>238</v>
      </c>
      <c r="F55" s="3" t="s">
        <v>238</v>
      </c>
      <c r="G55" s="74">
        <v>49687</v>
      </c>
      <c r="H55" s="70">
        <v>45956</v>
      </c>
    </row>
    <row r="56" spans="1:8">
      <c r="A56" s="3" t="s">
        <v>242</v>
      </c>
      <c r="B56" s="3" t="s">
        <v>243</v>
      </c>
      <c r="C56" s="3" t="s">
        <v>241</v>
      </c>
      <c r="D56" s="3" t="s">
        <v>236</v>
      </c>
      <c r="E56" s="3" t="s">
        <v>238</v>
      </c>
      <c r="F56" s="3" t="s">
        <v>238</v>
      </c>
      <c r="G56" s="74">
        <v>50684</v>
      </c>
      <c r="H56" s="70">
        <v>45680</v>
      </c>
    </row>
    <row r="57" spans="1:8">
      <c r="A57" s="3" t="s">
        <v>242</v>
      </c>
      <c r="B57" s="3" t="s">
        <v>243</v>
      </c>
      <c r="C57" s="3" t="s">
        <v>241</v>
      </c>
      <c r="D57" s="3" t="s">
        <v>236</v>
      </c>
      <c r="E57" s="3" t="s">
        <v>237</v>
      </c>
      <c r="F57" s="3" t="s">
        <v>236</v>
      </c>
      <c r="G57" s="74">
        <v>10225</v>
      </c>
      <c r="H57" s="70">
        <v>45964</v>
      </c>
    </row>
    <row r="58" spans="1:8">
      <c r="A58" s="3" t="s">
        <v>233</v>
      </c>
      <c r="B58" s="3" t="s">
        <v>257</v>
      </c>
      <c r="C58" s="3" t="s">
        <v>252</v>
      </c>
      <c r="D58" s="3" t="s">
        <v>236</v>
      </c>
      <c r="E58" s="3" t="s">
        <v>237</v>
      </c>
      <c r="F58" s="3" t="s">
        <v>238</v>
      </c>
      <c r="G58" s="74">
        <v>12400</v>
      </c>
      <c r="H58" s="70">
        <v>45877</v>
      </c>
    </row>
    <row r="59" spans="1:8">
      <c r="A59" s="3" t="s">
        <v>242</v>
      </c>
      <c r="B59" s="3" t="s">
        <v>257</v>
      </c>
      <c r="C59" s="3" t="s">
        <v>261</v>
      </c>
      <c r="D59" s="3" t="s">
        <v>238</v>
      </c>
      <c r="E59" s="3" t="s">
        <v>238</v>
      </c>
      <c r="F59" s="3" t="s">
        <v>238</v>
      </c>
      <c r="G59" s="74">
        <v>50734</v>
      </c>
      <c r="H59" s="70">
        <v>46018</v>
      </c>
    </row>
    <row r="60" spans="1:8">
      <c r="A60" s="3" t="s">
        <v>242</v>
      </c>
      <c r="B60" s="3" t="s">
        <v>244</v>
      </c>
      <c r="C60" s="3" t="s">
        <v>242</v>
      </c>
      <c r="D60" s="3" t="s">
        <v>238</v>
      </c>
      <c r="E60" s="3" t="s">
        <v>238</v>
      </c>
      <c r="F60" s="3" t="s">
        <v>238</v>
      </c>
      <c r="G60" s="74">
        <v>10500</v>
      </c>
      <c r="H60" s="70">
        <v>45766</v>
      </c>
    </row>
    <row r="61" spans="1:8">
      <c r="A61" s="3" t="s">
        <v>239</v>
      </c>
      <c r="B61" s="3" t="s">
        <v>240</v>
      </c>
      <c r="C61" s="3" t="s">
        <v>241</v>
      </c>
      <c r="D61" s="3" t="s">
        <v>236</v>
      </c>
      <c r="E61" s="3" t="s">
        <v>238</v>
      </c>
      <c r="F61" s="3" t="s">
        <v>238</v>
      </c>
      <c r="G61" s="74">
        <v>23450</v>
      </c>
      <c r="H61" s="70">
        <v>45728</v>
      </c>
    </row>
    <row r="62" spans="1:8">
      <c r="A62" s="3" t="s">
        <v>256</v>
      </c>
      <c r="B62" s="3" t="s">
        <v>240</v>
      </c>
      <c r="C62" s="3" t="s">
        <v>249</v>
      </c>
      <c r="D62" s="3" t="s">
        <v>238</v>
      </c>
      <c r="E62" s="3" t="s">
        <v>236</v>
      </c>
      <c r="F62" s="3" t="s">
        <v>238</v>
      </c>
      <c r="G62" s="74">
        <v>11134.39</v>
      </c>
      <c r="H62" s="70">
        <v>45734</v>
      </c>
    </row>
    <row r="63" spans="1:8">
      <c r="A63" s="3" t="s">
        <v>239</v>
      </c>
      <c r="B63" s="3" t="s">
        <v>244</v>
      </c>
      <c r="C63" s="3" t="s">
        <v>247</v>
      </c>
      <c r="D63" s="3" t="s">
        <v>236</v>
      </c>
      <c r="E63" s="3" t="s">
        <v>237</v>
      </c>
      <c r="F63" s="3" t="s">
        <v>238</v>
      </c>
      <c r="G63" s="74">
        <v>55807.5</v>
      </c>
      <c r="H63" s="70">
        <v>45751</v>
      </c>
    </row>
    <row r="64" spans="1:8">
      <c r="A64" s="3" t="s">
        <v>239</v>
      </c>
      <c r="B64" s="3" t="s">
        <v>240</v>
      </c>
      <c r="C64" s="3" t="s">
        <v>241</v>
      </c>
      <c r="D64" s="3" t="s">
        <v>236</v>
      </c>
      <c r="E64" s="3" t="s">
        <v>238</v>
      </c>
      <c r="F64" s="3" t="s">
        <v>238</v>
      </c>
      <c r="G64" s="74">
        <v>9000</v>
      </c>
      <c r="H64" s="70">
        <v>45740</v>
      </c>
    </row>
    <row r="65" spans="1:8">
      <c r="A65" s="3" t="s">
        <v>239</v>
      </c>
      <c r="B65" s="3" t="s">
        <v>244</v>
      </c>
      <c r="C65" s="3" t="s">
        <v>247</v>
      </c>
      <c r="D65" s="3" t="s">
        <v>238</v>
      </c>
      <c r="E65" s="3" t="s">
        <v>238</v>
      </c>
      <c r="F65" s="3" t="s">
        <v>238</v>
      </c>
      <c r="G65" s="74">
        <v>13000</v>
      </c>
      <c r="H65" s="70">
        <v>45966</v>
      </c>
    </row>
    <row r="66" spans="1:8">
      <c r="A66" s="3" t="s">
        <v>239</v>
      </c>
      <c r="B66" s="3" t="s">
        <v>240</v>
      </c>
      <c r="C66" s="3" t="s">
        <v>253</v>
      </c>
      <c r="D66" s="3" t="s">
        <v>238</v>
      </c>
      <c r="E66" s="3" t="s">
        <v>238</v>
      </c>
      <c r="F66" s="3" t="s">
        <v>238</v>
      </c>
      <c r="G66" s="74">
        <v>9750</v>
      </c>
      <c r="H66" s="70">
        <v>45994</v>
      </c>
    </row>
    <row r="67" spans="1:8">
      <c r="A67" s="3" t="s">
        <v>239</v>
      </c>
      <c r="B67" s="3" t="s">
        <v>244</v>
      </c>
      <c r="C67" s="3" t="s">
        <v>242</v>
      </c>
      <c r="D67" s="3" t="s">
        <v>236</v>
      </c>
      <c r="E67" s="3" t="s">
        <v>237</v>
      </c>
      <c r="F67" s="3" t="s">
        <v>238</v>
      </c>
      <c r="G67" s="74">
        <v>10017.92</v>
      </c>
      <c r="H67" s="70">
        <v>45996</v>
      </c>
    </row>
    <row r="68" spans="1:8">
      <c r="A68" s="3" t="s">
        <v>239</v>
      </c>
      <c r="B68" s="3" t="s">
        <v>244</v>
      </c>
      <c r="C68" s="3" t="s">
        <v>254</v>
      </c>
      <c r="D68" s="3" t="s">
        <v>238</v>
      </c>
      <c r="E68" s="3" t="s">
        <v>238</v>
      </c>
      <c r="F68" s="3" t="s">
        <v>238</v>
      </c>
      <c r="G68" s="74">
        <v>8825</v>
      </c>
      <c r="H68" s="70">
        <v>45681</v>
      </c>
    </row>
    <row r="69" spans="1:8">
      <c r="A69" s="3" t="s">
        <v>242</v>
      </c>
      <c r="B69" s="3" t="s">
        <v>263</v>
      </c>
      <c r="C69" s="3" t="s">
        <v>255</v>
      </c>
      <c r="D69" s="3" t="s">
        <v>236</v>
      </c>
      <c r="E69" s="3" t="s">
        <v>237</v>
      </c>
      <c r="F69" s="3" t="s">
        <v>236</v>
      </c>
      <c r="G69" s="74">
        <v>9529.5</v>
      </c>
      <c r="H69" s="70">
        <v>45835</v>
      </c>
    </row>
    <row r="70" spans="1:8">
      <c r="A70" s="3" t="s">
        <v>242</v>
      </c>
      <c r="B70" s="3" t="s">
        <v>244</v>
      </c>
      <c r="C70" s="3" t="s">
        <v>265</v>
      </c>
      <c r="D70" s="3" t="s">
        <v>236</v>
      </c>
      <c r="E70" s="3" t="s">
        <v>237</v>
      </c>
      <c r="F70" s="3" t="s">
        <v>238</v>
      </c>
      <c r="G70" s="74">
        <v>13350</v>
      </c>
      <c r="H70" s="70">
        <v>46009</v>
      </c>
    </row>
    <row r="71" spans="1:8">
      <c r="A71" s="3" t="s">
        <v>233</v>
      </c>
      <c r="B71" s="3" t="s">
        <v>257</v>
      </c>
      <c r="C71" s="3" t="s">
        <v>252</v>
      </c>
      <c r="D71" s="3" t="s">
        <v>236</v>
      </c>
      <c r="E71" s="3" t="s">
        <v>237</v>
      </c>
      <c r="F71" s="3" t="s">
        <v>238</v>
      </c>
      <c r="G71" s="74">
        <v>16364.28</v>
      </c>
      <c r="H71" s="70">
        <v>45969</v>
      </c>
    </row>
    <row r="72" spans="1:8">
      <c r="A72" s="3" t="s">
        <v>242</v>
      </c>
      <c r="B72" s="3" t="s">
        <v>244</v>
      </c>
      <c r="C72" s="3" t="s">
        <v>247</v>
      </c>
      <c r="D72" s="3" t="s">
        <v>236</v>
      </c>
      <c r="E72" s="3" t="s">
        <v>237</v>
      </c>
      <c r="F72" s="3" t="s">
        <v>238</v>
      </c>
      <c r="G72" s="74">
        <v>15253.6</v>
      </c>
      <c r="H72" s="70">
        <v>45721</v>
      </c>
    </row>
    <row r="73" spans="1:8">
      <c r="A73" s="3" t="s">
        <v>242</v>
      </c>
      <c r="B73" s="3" t="s">
        <v>263</v>
      </c>
      <c r="C73" s="3" t="s">
        <v>255</v>
      </c>
      <c r="D73" s="3" t="s">
        <v>238</v>
      </c>
      <c r="E73" s="3" t="s">
        <v>236</v>
      </c>
      <c r="F73" s="3" t="s">
        <v>238</v>
      </c>
      <c r="G73" s="74">
        <v>11500</v>
      </c>
      <c r="H73" s="70">
        <v>45788</v>
      </c>
    </row>
    <row r="74" spans="1:8">
      <c r="A74" s="3" t="s">
        <v>242</v>
      </c>
      <c r="B74" s="3" t="s">
        <v>234</v>
      </c>
      <c r="C74" s="3" t="s">
        <v>241</v>
      </c>
      <c r="D74" s="3" t="s">
        <v>236</v>
      </c>
      <c r="E74" s="3" t="s">
        <v>237</v>
      </c>
      <c r="F74" s="3" t="s">
        <v>238</v>
      </c>
      <c r="G74" s="74">
        <v>13000</v>
      </c>
      <c r="H74" s="70">
        <v>45918</v>
      </c>
    </row>
    <row r="75" spans="1:8">
      <c r="A75" s="3" t="s">
        <v>262</v>
      </c>
      <c r="B75" s="3" t="s">
        <v>263</v>
      </c>
      <c r="C75" s="3" t="s">
        <v>265</v>
      </c>
      <c r="D75" s="3" t="s">
        <v>238</v>
      </c>
      <c r="E75" s="3" t="s">
        <v>236</v>
      </c>
      <c r="F75" s="3" t="s">
        <v>238</v>
      </c>
      <c r="G75" s="74">
        <v>25492.5</v>
      </c>
      <c r="H75" s="70">
        <v>45682</v>
      </c>
    </row>
    <row r="76" spans="1:8">
      <c r="A76" s="3" t="s">
        <v>260</v>
      </c>
      <c r="B76" s="3" t="s">
        <v>240</v>
      </c>
      <c r="C76" s="3" t="s">
        <v>249</v>
      </c>
      <c r="D76" s="3" t="s">
        <v>236</v>
      </c>
      <c r="E76" s="3" t="s">
        <v>237</v>
      </c>
      <c r="F76" s="3" t="s">
        <v>238</v>
      </c>
      <c r="G76" s="74">
        <v>51380.1</v>
      </c>
      <c r="H76" s="70">
        <v>45772</v>
      </c>
    </row>
    <row r="77" spans="1:8">
      <c r="A77" s="3" t="s">
        <v>258</v>
      </c>
      <c r="B77" s="3" t="s">
        <v>240</v>
      </c>
      <c r="C77" s="3" t="s">
        <v>249</v>
      </c>
      <c r="D77" s="3" t="s">
        <v>238</v>
      </c>
      <c r="E77" s="3" t="s">
        <v>236</v>
      </c>
      <c r="F77" s="3" t="s">
        <v>238</v>
      </c>
      <c r="G77" s="74">
        <v>9845.9599999999991</v>
      </c>
      <c r="H77" s="70">
        <v>45885</v>
      </c>
    </row>
    <row r="78" spans="1:8">
      <c r="A78" s="3" t="s">
        <v>242</v>
      </c>
      <c r="B78" s="3" t="s">
        <v>243</v>
      </c>
      <c r="C78" s="3" t="s">
        <v>241</v>
      </c>
      <c r="D78" s="3" t="s">
        <v>236</v>
      </c>
      <c r="E78" s="3" t="s">
        <v>237</v>
      </c>
      <c r="F78" s="3" t="s">
        <v>236</v>
      </c>
      <c r="G78" s="74">
        <v>9436.25</v>
      </c>
      <c r="H78" s="70">
        <v>45973</v>
      </c>
    </row>
    <row r="79" spans="1:8">
      <c r="A79" s="3" t="s">
        <v>239</v>
      </c>
      <c r="B79" s="3" t="s">
        <v>234</v>
      </c>
      <c r="C79" s="3" t="s">
        <v>249</v>
      </c>
      <c r="D79" s="3" t="s">
        <v>236</v>
      </c>
      <c r="E79" s="3" t="s">
        <v>238</v>
      </c>
      <c r="F79" s="3" t="s">
        <v>238</v>
      </c>
      <c r="G79" s="74">
        <v>14640.5</v>
      </c>
      <c r="H79" s="70">
        <v>45946</v>
      </c>
    </row>
    <row r="80" spans="1:8">
      <c r="A80" s="3" t="s">
        <v>260</v>
      </c>
      <c r="B80" s="3" t="s">
        <v>240</v>
      </c>
      <c r="C80" s="3" t="s">
        <v>249</v>
      </c>
      <c r="D80" s="3" t="s">
        <v>238</v>
      </c>
      <c r="E80" s="3" t="s">
        <v>238</v>
      </c>
      <c r="F80" s="3" t="s">
        <v>238</v>
      </c>
      <c r="G80" s="74">
        <v>12243.75</v>
      </c>
      <c r="H80" s="70">
        <v>45940</v>
      </c>
    </row>
    <row r="81" spans="1:8">
      <c r="A81" s="3" t="s">
        <v>242</v>
      </c>
      <c r="B81" s="3" t="s">
        <v>234</v>
      </c>
      <c r="C81" s="3" t="s">
        <v>252</v>
      </c>
      <c r="D81" s="3" t="s">
        <v>236</v>
      </c>
      <c r="E81" s="3" t="s">
        <v>237</v>
      </c>
      <c r="F81" s="3" t="s">
        <v>238</v>
      </c>
      <c r="G81" s="74">
        <v>50995</v>
      </c>
      <c r="H81" s="70">
        <v>45968</v>
      </c>
    </row>
    <row r="82" spans="1:8">
      <c r="A82" s="3" t="s">
        <v>239</v>
      </c>
      <c r="B82" s="3" t="s">
        <v>234</v>
      </c>
      <c r="C82" s="3" t="s">
        <v>261</v>
      </c>
      <c r="D82" s="3" t="s">
        <v>236</v>
      </c>
      <c r="E82" s="3" t="s">
        <v>238</v>
      </c>
      <c r="F82" s="3" t="s">
        <v>238</v>
      </c>
      <c r="G82" s="74">
        <v>11375</v>
      </c>
      <c r="H82" s="70">
        <v>45962</v>
      </c>
    </row>
    <row r="83" spans="1:8">
      <c r="A83" s="3" t="s">
        <v>242</v>
      </c>
      <c r="B83" s="3" t="s">
        <v>257</v>
      </c>
      <c r="C83" s="3" t="s">
        <v>261</v>
      </c>
      <c r="D83" s="3" t="s">
        <v>238</v>
      </c>
      <c r="E83" s="3" t="s">
        <v>238</v>
      </c>
      <c r="F83" s="3" t="s">
        <v>238</v>
      </c>
      <c r="G83" s="74">
        <v>11182</v>
      </c>
      <c r="H83" s="70">
        <v>45743</v>
      </c>
    </row>
    <row r="84" spans="1:8">
      <c r="A84" s="3" t="s">
        <v>233</v>
      </c>
      <c r="B84" s="3" t="s">
        <v>257</v>
      </c>
      <c r="C84" s="3" t="s">
        <v>261</v>
      </c>
      <c r="D84" s="3" t="s">
        <v>236</v>
      </c>
      <c r="E84" s="3" t="s">
        <v>237</v>
      </c>
      <c r="F84" s="3" t="s">
        <v>238</v>
      </c>
      <c r="G84" s="74">
        <v>7855</v>
      </c>
      <c r="H84" s="70">
        <v>45959</v>
      </c>
    </row>
    <row r="85" spans="1:8">
      <c r="A85" s="3" t="s">
        <v>239</v>
      </c>
      <c r="B85" s="3" t="s">
        <v>240</v>
      </c>
      <c r="C85" s="3" t="s">
        <v>241</v>
      </c>
      <c r="D85" s="3" t="s">
        <v>236</v>
      </c>
      <c r="E85" s="3" t="s">
        <v>237</v>
      </c>
      <c r="F85" s="3" t="s">
        <v>238</v>
      </c>
      <c r="G85" s="74">
        <v>10491.49</v>
      </c>
      <c r="H85" s="70">
        <v>45831</v>
      </c>
    </row>
    <row r="86" spans="1:8">
      <c r="A86" s="3" t="s">
        <v>239</v>
      </c>
      <c r="B86" s="3" t="s">
        <v>245</v>
      </c>
      <c r="C86" s="3" t="s">
        <v>265</v>
      </c>
      <c r="D86" s="3" t="s">
        <v>236</v>
      </c>
      <c r="E86" s="3" t="s">
        <v>237</v>
      </c>
      <c r="F86" s="3" t="s">
        <v>236</v>
      </c>
      <c r="G86" s="74">
        <v>18308</v>
      </c>
      <c r="H86" s="70">
        <v>45960</v>
      </c>
    </row>
    <row r="87" spans="1:8">
      <c r="A87" s="3" t="s">
        <v>242</v>
      </c>
      <c r="B87" s="3" t="s">
        <v>245</v>
      </c>
      <c r="C87" s="3" t="s">
        <v>265</v>
      </c>
      <c r="D87" s="3" t="s">
        <v>236</v>
      </c>
      <c r="E87" s="3" t="s">
        <v>237</v>
      </c>
      <c r="F87" s="3" t="s">
        <v>236</v>
      </c>
      <c r="G87" s="74">
        <v>12321.22</v>
      </c>
      <c r="H87" s="70">
        <v>45715</v>
      </c>
    </row>
    <row r="88" spans="1:8">
      <c r="A88" s="3" t="s">
        <v>239</v>
      </c>
      <c r="B88" s="3" t="s">
        <v>234</v>
      </c>
      <c r="C88" s="3" t="s">
        <v>252</v>
      </c>
      <c r="D88" s="3" t="s">
        <v>236</v>
      </c>
      <c r="E88" s="3" t="s">
        <v>238</v>
      </c>
      <c r="F88" s="3" t="s">
        <v>238</v>
      </c>
      <c r="G88" s="74">
        <v>49922</v>
      </c>
      <c r="H88" s="70">
        <v>45738</v>
      </c>
    </row>
    <row r="89" spans="1:8">
      <c r="A89" s="3" t="s">
        <v>239</v>
      </c>
      <c r="B89" s="3" t="s">
        <v>245</v>
      </c>
      <c r="C89" s="3" t="s">
        <v>251</v>
      </c>
      <c r="D89" s="3" t="s">
        <v>236</v>
      </c>
      <c r="E89" s="3" t="s">
        <v>238</v>
      </c>
      <c r="F89" s="3" t="s">
        <v>238</v>
      </c>
      <c r="G89" s="74">
        <v>10071.200000000001</v>
      </c>
      <c r="H89" s="70">
        <v>45897</v>
      </c>
    </row>
    <row r="90" spans="1:8">
      <c r="A90" s="3" t="s">
        <v>242</v>
      </c>
      <c r="B90" s="3" t="s">
        <v>244</v>
      </c>
      <c r="C90" s="3" t="s">
        <v>254</v>
      </c>
      <c r="D90" s="3" t="s">
        <v>238</v>
      </c>
      <c r="E90" s="3" t="s">
        <v>238</v>
      </c>
      <c r="F90" s="3" t="s">
        <v>238</v>
      </c>
      <c r="G90" s="74">
        <v>11516.47</v>
      </c>
      <c r="H90" s="70">
        <v>45675</v>
      </c>
    </row>
    <row r="91" spans="1:8">
      <c r="A91" s="3" t="s">
        <v>262</v>
      </c>
      <c r="B91" s="3" t="s">
        <v>240</v>
      </c>
      <c r="C91" s="3" t="s">
        <v>249</v>
      </c>
      <c r="D91" s="3" t="s">
        <v>238</v>
      </c>
      <c r="E91" s="3" t="s">
        <v>238</v>
      </c>
      <c r="F91" s="3" t="s">
        <v>238</v>
      </c>
      <c r="G91" s="74">
        <v>13100</v>
      </c>
      <c r="H91" s="70">
        <v>45952</v>
      </c>
    </row>
    <row r="92" spans="1:8">
      <c r="A92" s="3" t="s">
        <v>260</v>
      </c>
      <c r="B92" s="3" t="s">
        <v>240</v>
      </c>
      <c r="C92" s="3" t="s">
        <v>249</v>
      </c>
      <c r="D92" s="3" t="s">
        <v>236</v>
      </c>
      <c r="E92" s="3" t="s">
        <v>237</v>
      </c>
      <c r="F92" s="3" t="s">
        <v>238</v>
      </c>
      <c r="G92" s="74">
        <v>10390</v>
      </c>
      <c r="H92" s="70">
        <v>46019</v>
      </c>
    </row>
    <row r="93" spans="1:8">
      <c r="A93" s="3" t="s">
        <v>242</v>
      </c>
      <c r="B93" s="3" t="s">
        <v>243</v>
      </c>
      <c r="C93" s="3" t="s">
        <v>241</v>
      </c>
      <c r="D93" s="3" t="s">
        <v>236</v>
      </c>
      <c r="E93" s="3" t="s">
        <v>237</v>
      </c>
      <c r="F93" s="3" t="s">
        <v>236</v>
      </c>
      <c r="G93" s="74">
        <v>10425</v>
      </c>
      <c r="H93" s="70">
        <v>45693</v>
      </c>
    </row>
    <row r="94" spans="1:8">
      <c r="A94" s="3" t="s">
        <v>242</v>
      </c>
      <c r="B94" s="3" t="s">
        <v>244</v>
      </c>
      <c r="C94" s="3" t="s">
        <v>265</v>
      </c>
      <c r="D94" s="3" t="s">
        <v>238</v>
      </c>
      <c r="E94" s="3" t="s">
        <v>238</v>
      </c>
      <c r="F94" s="3" t="s">
        <v>238</v>
      </c>
      <c r="G94" s="74">
        <v>13983</v>
      </c>
      <c r="H94" s="70">
        <v>45915</v>
      </c>
    </row>
    <row r="95" spans="1:8">
      <c r="A95" s="3" t="s">
        <v>239</v>
      </c>
      <c r="B95" s="3" t="s">
        <v>240</v>
      </c>
      <c r="C95" s="3" t="s">
        <v>241</v>
      </c>
      <c r="D95" s="3" t="s">
        <v>236</v>
      </c>
      <c r="E95" s="3" t="s">
        <v>237</v>
      </c>
      <c r="F95" s="3" t="s">
        <v>238</v>
      </c>
      <c r="G95" s="74">
        <v>8690</v>
      </c>
      <c r="H95" s="70">
        <v>45855</v>
      </c>
    </row>
    <row r="96" spans="1:8">
      <c r="A96" s="3" t="s">
        <v>239</v>
      </c>
      <c r="B96" s="3" t="s">
        <v>245</v>
      </c>
      <c r="C96" s="3" t="s">
        <v>246</v>
      </c>
      <c r="D96" s="3" t="s">
        <v>238</v>
      </c>
      <c r="E96" s="3" t="s">
        <v>238</v>
      </c>
      <c r="F96" s="3" t="s">
        <v>238</v>
      </c>
      <c r="G96" s="74">
        <v>11275</v>
      </c>
      <c r="H96" s="70">
        <v>45962</v>
      </c>
    </row>
    <row r="97" spans="1:8">
      <c r="A97" s="3" t="s">
        <v>239</v>
      </c>
      <c r="B97" s="3" t="s">
        <v>245</v>
      </c>
      <c r="C97" s="3" t="s">
        <v>266</v>
      </c>
      <c r="D97" s="3" t="s">
        <v>236</v>
      </c>
      <c r="E97" s="3" t="s">
        <v>238</v>
      </c>
      <c r="F97" s="3" t="s">
        <v>238</v>
      </c>
      <c r="G97" s="74">
        <v>11559.38</v>
      </c>
      <c r="H97" s="70">
        <v>45849</v>
      </c>
    </row>
    <row r="98" spans="1:8">
      <c r="A98" s="3" t="s">
        <v>233</v>
      </c>
      <c r="B98" s="3" t="s">
        <v>257</v>
      </c>
      <c r="C98" s="3" t="s">
        <v>252</v>
      </c>
      <c r="D98" s="3" t="s">
        <v>236</v>
      </c>
      <c r="E98" s="3" t="s">
        <v>237</v>
      </c>
      <c r="F98" s="3" t="s">
        <v>238</v>
      </c>
      <c r="G98" s="74">
        <v>14786</v>
      </c>
      <c r="H98" s="70">
        <v>45810</v>
      </c>
    </row>
    <row r="99" spans="1:8">
      <c r="A99" s="3" t="s">
        <v>262</v>
      </c>
      <c r="B99" s="3" t="s">
        <v>240</v>
      </c>
      <c r="C99" s="3" t="s">
        <v>253</v>
      </c>
      <c r="D99" s="3" t="s">
        <v>236</v>
      </c>
      <c r="E99" s="3" t="s">
        <v>237</v>
      </c>
      <c r="F99" s="3" t="s">
        <v>238</v>
      </c>
      <c r="G99" s="74">
        <v>10100</v>
      </c>
      <c r="H99" s="70">
        <v>46003</v>
      </c>
    </row>
    <row r="100" spans="1:8">
      <c r="A100" s="3" t="s">
        <v>239</v>
      </c>
      <c r="B100" s="3" t="s">
        <v>234</v>
      </c>
      <c r="C100" s="3" t="s">
        <v>249</v>
      </c>
      <c r="D100" s="3" t="s">
        <v>238</v>
      </c>
      <c r="E100" s="3" t="s">
        <v>238</v>
      </c>
      <c r="F100" s="3" t="s">
        <v>238</v>
      </c>
      <c r="G100" s="74">
        <v>55873.599999999999</v>
      </c>
      <c r="H100" s="70">
        <v>45970</v>
      </c>
    </row>
    <row r="101" spans="1:8">
      <c r="A101" s="3" t="s">
        <v>242</v>
      </c>
      <c r="B101" s="3" t="s">
        <v>244</v>
      </c>
      <c r="C101" s="3" t="s">
        <v>265</v>
      </c>
      <c r="D101" s="3" t="s">
        <v>238</v>
      </c>
      <c r="E101" s="3" t="s">
        <v>238</v>
      </c>
      <c r="F101" s="3" t="s">
        <v>238</v>
      </c>
      <c r="G101" s="74">
        <v>49691</v>
      </c>
      <c r="H101" s="70">
        <v>45839</v>
      </c>
    </row>
    <row r="102" spans="1:8">
      <c r="A102" s="3" t="s">
        <v>258</v>
      </c>
      <c r="B102" s="3" t="s">
        <v>240</v>
      </c>
      <c r="C102" s="3" t="s">
        <v>249</v>
      </c>
      <c r="D102" s="3" t="s">
        <v>238</v>
      </c>
      <c r="E102" s="3" t="s">
        <v>238</v>
      </c>
      <c r="F102" s="3" t="s">
        <v>238</v>
      </c>
      <c r="G102" s="74">
        <v>12350</v>
      </c>
      <c r="H102" s="70">
        <v>45955</v>
      </c>
    </row>
    <row r="103" spans="1:8">
      <c r="A103" s="3" t="s">
        <v>239</v>
      </c>
      <c r="B103" s="3" t="s">
        <v>240</v>
      </c>
      <c r="C103" s="3" t="s">
        <v>241</v>
      </c>
      <c r="D103" s="3" t="s">
        <v>236</v>
      </c>
      <c r="E103" s="3" t="s">
        <v>237</v>
      </c>
      <c r="F103" s="3" t="s">
        <v>236</v>
      </c>
      <c r="G103" s="74">
        <v>16250</v>
      </c>
      <c r="H103" s="70">
        <v>46005</v>
      </c>
    </row>
    <row r="104" spans="1:8">
      <c r="A104" s="3" t="s">
        <v>256</v>
      </c>
      <c r="B104" s="3" t="s">
        <v>244</v>
      </c>
      <c r="C104" s="3" t="s">
        <v>265</v>
      </c>
      <c r="D104" s="3" t="s">
        <v>238</v>
      </c>
      <c r="E104" s="3" t="s">
        <v>236</v>
      </c>
      <c r="F104" s="3" t="s">
        <v>238</v>
      </c>
      <c r="G104" s="74">
        <v>49980.5</v>
      </c>
      <c r="H104" s="70">
        <v>45700</v>
      </c>
    </row>
    <row r="105" spans="1:8">
      <c r="A105" s="3" t="s">
        <v>242</v>
      </c>
      <c r="B105" s="3" t="s">
        <v>243</v>
      </c>
      <c r="C105" s="3" t="s">
        <v>241</v>
      </c>
      <c r="D105" s="3" t="s">
        <v>236</v>
      </c>
      <c r="E105" s="3" t="s">
        <v>237</v>
      </c>
      <c r="F105" s="3" t="s">
        <v>236</v>
      </c>
      <c r="G105" s="74">
        <v>10142</v>
      </c>
      <c r="H105" s="70">
        <v>45942</v>
      </c>
    </row>
    <row r="106" spans="1:8">
      <c r="A106" s="3" t="s">
        <v>242</v>
      </c>
      <c r="B106" s="3" t="s">
        <v>240</v>
      </c>
      <c r="C106" s="3" t="s">
        <v>253</v>
      </c>
      <c r="D106" s="3" t="s">
        <v>238</v>
      </c>
      <c r="E106" s="3" t="s">
        <v>236</v>
      </c>
      <c r="F106" s="3" t="s">
        <v>238</v>
      </c>
      <c r="G106" s="74">
        <v>5846.26</v>
      </c>
      <c r="H106" s="70">
        <v>45702</v>
      </c>
    </row>
    <row r="107" spans="1:8">
      <c r="A107" s="3" t="s">
        <v>242</v>
      </c>
      <c r="B107" s="3" t="s">
        <v>257</v>
      </c>
      <c r="C107" s="3" t="s">
        <v>259</v>
      </c>
      <c r="D107" s="3" t="s">
        <v>238</v>
      </c>
      <c r="E107" s="3" t="s">
        <v>238</v>
      </c>
      <c r="F107" s="3" t="s">
        <v>238</v>
      </c>
      <c r="G107" s="74">
        <v>12948</v>
      </c>
      <c r="H107" s="70">
        <v>45931</v>
      </c>
    </row>
    <row r="108" spans="1:8">
      <c r="A108" s="3" t="s">
        <v>242</v>
      </c>
      <c r="B108" s="3" t="s">
        <v>244</v>
      </c>
      <c r="C108" s="3" t="s">
        <v>265</v>
      </c>
      <c r="D108" s="3" t="s">
        <v>238</v>
      </c>
      <c r="E108" s="3" t="s">
        <v>238</v>
      </c>
      <c r="F108" s="3" t="s">
        <v>238</v>
      </c>
      <c r="G108" s="74">
        <v>12283.5</v>
      </c>
      <c r="H108" s="70">
        <v>45989</v>
      </c>
    </row>
    <row r="109" spans="1:8">
      <c r="A109" s="3" t="s">
        <v>242</v>
      </c>
      <c r="B109" s="3" t="s">
        <v>240</v>
      </c>
      <c r="C109" s="3" t="s">
        <v>253</v>
      </c>
      <c r="D109" s="3" t="s">
        <v>236</v>
      </c>
      <c r="E109" s="3" t="s">
        <v>237</v>
      </c>
      <c r="F109" s="3" t="s">
        <v>238</v>
      </c>
      <c r="G109" s="74">
        <v>10233.67</v>
      </c>
      <c r="H109" s="70">
        <v>45792</v>
      </c>
    </row>
    <row r="110" spans="1:8">
      <c r="A110" s="3" t="s">
        <v>239</v>
      </c>
      <c r="B110" s="3" t="s">
        <v>240</v>
      </c>
      <c r="C110" s="3" t="s">
        <v>241</v>
      </c>
      <c r="D110" s="3" t="s">
        <v>236</v>
      </c>
      <c r="E110" s="3" t="s">
        <v>238</v>
      </c>
      <c r="F110" s="3" t="s">
        <v>238</v>
      </c>
      <c r="G110" s="74">
        <v>12250</v>
      </c>
      <c r="H110" s="70">
        <v>45976</v>
      </c>
    </row>
    <row r="111" spans="1:8">
      <c r="A111" s="3" t="s">
        <v>262</v>
      </c>
      <c r="B111" s="3" t="s">
        <v>263</v>
      </c>
      <c r="C111" s="3" t="s">
        <v>255</v>
      </c>
      <c r="D111" s="3" t="s">
        <v>238</v>
      </c>
      <c r="E111" s="3" t="s">
        <v>238</v>
      </c>
      <c r="F111" s="3" t="s">
        <v>238</v>
      </c>
      <c r="G111" s="74">
        <v>10700</v>
      </c>
      <c r="H111" s="70">
        <v>45805</v>
      </c>
    </row>
    <row r="112" spans="1:8">
      <c r="A112" s="3" t="s">
        <v>256</v>
      </c>
      <c r="B112" s="3" t="s">
        <v>244</v>
      </c>
      <c r="C112" s="3" t="s">
        <v>242</v>
      </c>
      <c r="D112" s="3" t="s">
        <v>238</v>
      </c>
      <c r="E112" s="3" t="s">
        <v>236</v>
      </c>
      <c r="F112" s="3" t="s">
        <v>238</v>
      </c>
      <c r="G112" s="74">
        <v>53293</v>
      </c>
      <c r="H112" s="70">
        <v>45780</v>
      </c>
    </row>
    <row r="113" spans="1:8">
      <c r="A113" s="3" t="s">
        <v>233</v>
      </c>
      <c r="B113" s="3" t="s">
        <v>234</v>
      </c>
      <c r="C113" s="3" t="s">
        <v>235</v>
      </c>
      <c r="D113" s="3" t="s">
        <v>236</v>
      </c>
      <c r="E113" s="3" t="s">
        <v>237</v>
      </c>
      <c r="F113" s="3" t="s">
        <v>238</v>
      </c>
      <c r="G113" s="74">
        <v>10350</v>
      </c>
      <c r="H113" s="70">
        <v>45914</v>
      </c>
    </row>
    <row r="114" spans="1:8">
      <c r="A114" s="3" t="s">
        <v>242</v>
      </c>
      <c r="B114" s="3" t="s">
        <v>240</v>
      </c>
      <c r="C114" s="3" t="s">
        <v>253</v>
      </c>
      <c r="D114" s="3" t="s">
        <v>238</v>
      </c>
      <c r="E114" s="3" t="s">
        <v>236</v>
      </c>
      <c r="F114" s="3" t="s">
        <v>238</v>
      </c>
      <c r="G114" s="74">
        <v>11195.5</v>
      </c>
      <c r="H114" s="70">
        <v>46013</v>
      </c>
    </row>
    <row r="115" spans="1:8">
      <c r="A115" s="3" t="s">
        <v>233</v>
      </c>
      <c r="B115" s="3" t="s">
        <v>257</v>
      </c>
      <c r="C115" s="3" t="s">
        <v>252</v>
      </c>
      <c r="D115" s="3" t="s">
        <v>236</v>
      </c>
      <c r="E115" s="3" t="s">
        <v>237</v>
      </c>
      <c r="F115" s="3" t="s">
        <v>238</v>
      </c>
      <c r="G115" s="74">
        <v>12624</v>
      </c>
      <c r="H115" s="70">
        <v>45798</v>
      </c>
    </row>
    <row r="116" spans="1:8">
      <c r="A116" s="3" t="s">
        <v>258</v>
      </c>
      <c r="B116" s="3" t="s">
        <v>240</v>
      </c>
      <c r="C116" s="3" t="s">
        <v>249</v>
      </c>
      <c r="D116" s="3" t="s">
        <v>238</v>
      </c>
      <c r="E116" s="3" t="s">
        <v>238</v>
      </c>
      <c r="F116" s="3" t="s">
        <v>238</v>
      </c>
      <c r="G116" s="74">
        <v>15033.09</v>
      </c>
      <c r="H116" s="70">
        <v>46022</v>
      </c>
    </row>
    <row r="117" spans="1:8">
      <c r="A117" s="3" t="s">
        <v>239</v>
      </c>
      <c r="B117" s="3" t="s">
        <v>244</v>
      </c>
      <c r="C117" s="3" t="s">
        <v>247</v>
      </c>
      <c r="D117" s="3" t="s">
        <v>236</v>
      </c>
      <c r="E117" s="3" t="s">
        <v>237</v>
      </c>
      <c r="F117" s="3" t="s">
        <v>238</v>
      </c>
      <c r="G117" s="74">
        <v>59462.5</v>
      </c>
      <c r="H117" s="70">
        <v>45675</v>
      </c>
    </row>
    <row r="118" spans="1:8">
      <c r="A118" s="3" t="s">
        <v>258</v>
      </c>
      <c r="B118" s="3" t="s">
        <v>240</v>
      </c>
      <c r="C118" s="3" t="s">
        <v>249</v>
      </c>
      <c r="D118" s="3" t="s">
        <v>238</v>
      </c>
      <c r="E118" s="3" t="s">
        <v>236</v>
      </c>
      <c r="F118" s="3" t="s">
        <v>238</v>
      </c>
      <c r="G118" s="74">
        <v>10036.44</v>
      </c>
      <c r="H118" s="70">
        <v>45937</v>
      </c>
    </row>
    <row r="119" spans="1:8">
      <c r="A119" s="3" t="s">
        <v>242</v>
      </c>
      <c r="B119" s="3" t="s">
        <v>244</v>
      </c>
      <c r="C119" s="3" t="s">
        <v>267</v>
      </c>
      <c r="D119" s="3" t="s">
        <v>236</v>
      </c>
      <c r="E119" s="3" t="s">
        <v>237</v>
      </c>
      <c r="F119" s="3" t="s">
        <v>238</v>
      </c>
      <c r="G119" s="74">
        <v>12769.48</v>
      </c>
      <c r="H119" s="70">
        <v>45718</v>
      </c>
    </row>
    <row r="120" spans="1:8">
      <c r="A120" s="3" t="s">
        <v>233</v>
      </c>
      <c r="B120" s="3" t="s">
        <v>234</v>
      </c>
      <c r="C120" s="3" t="s">
        <v>235</v>
      </c>
      <c r="D120" s="3" t="s">
        <v>236</v>
      </c>
      <c r="E120" s="3" t="s">
        <v>238</v>
      </c>
      <c r="F120" s="3" t="s">
        <v>238</v>
      </c>
      <c r="G120" s="74">
        <v>13972</v>
      </c>
      <c r="H120" s="70">
        <v>45765</v>
      </c>
    </row>
    <row r="121" spans="1:8">
      <c r="A121" s="3" t="s">
        <v>239</v>
      </c>
      <c r="B121" s="3" t="s">
        <v>234</v>
      </c>
      <c r="C121" s="3" t="s">
        <v>249</v>
      </c>
      <c r="D121" s="3" t="s">
        <v>236</v>
      </c>
      <c r="E121" s="3" t="s">
        <v>238</v>
      </c>
      <c r="F121" s="3" t="s">
        <v>238</v>
      </c>
      <c r="G121" s="74">
        <v>14250</v>
      </c>
      <c r="H121" s="70">
        <v>45720</v>
      </c>
    </row>
    <row r="122" spans="1:8">
      <c r="A122" s="3" t="s">
        <v>239</v>
      </c>
      <c r="B122" s="3" t="s">
        <v>244</v>
      </c>
      <c r="C122" s="3" t="s">
        <v>254</v>
      </c>
      <c r="D122" s="3" t="s">
        <v>236</v>
      </c>
      <c r="E122" s="3" t="s">
        <v>238</v>
      </c>
      <c r="F122" s="3" t="s">
        <v>238</v>
      </c>
      <c r="G122" s="74">
        <v>49918</v>
      </c>
      <c r="H122" s="70">
        <v>45882</v>
      </c>
    </row>
    <row r="123" spans="1:8">
      <c r="A123" s="3" t="s">
        <v>239</v>
      </c>
      <c r="B123" s="3" t="s">
        <v>245</v>
      </c>
      <c r="C123" s="3" t="s">
        <v>246</v>
      </c>
      <c r="D123" s="3" t="s">
        <v>236</v>
      </c>
      <c r="E123" s="3" t="s">
        <v>238</v>
      </c>
      <c r="F123" s="3" t="s">
        <v>238</v>
      </c>
      <c r="G123" s="74">
        <v>8516.2800000000007</v>
      </c>
      <c r="H123" s="70">
        <v>45989</v>
      </c>
    </row>
    <row r="124" spans="1:8">
      <c r="A124" s="3" t="s">
        <v>239</v>
      </c>
      <c r="B124" s="3" t="s">
        <v>234</v>
      </c>
      <c r="C124" s="3" t="s">
        <v>249</v>
      </c>
      <c r="D124" s="3" t="s">
        <v>236</v>
      </c>
      <c r="E124" s="3" t="s">
        <v>238</v>
      </c>
      <c r="F124" s="3" t="s">
        <v>238</v>
      </c>
      <c r="G124" s="74">
        <v>13465.5</v>
      </c>
      <c r="H124" s="70">
        <v>45697</v>
      </c>
    </row>
    <row r="125" spans="1:8">
      <c r="A125" s="3" t="s">
        <v>262</v>
      </c>
      <c r="B125" s="3" t="s">
        <v>240</v>
      </c>
      <c r="C125" s="3" t="s">
        <v>253</v>
      </c>
      <c r="D125" s="3" t="s">
        <v>238</v>
      </c>
      <c r="E125" s="3" t="s">
        <v>238</v>
      </c>
      <c r="F125" s="3" t="s">
        <v>238</v>
      </c>
      <c r="G125" s="74">
        <v>6500</v>
      </c>
      <c r="H125" s="70">
        <v>45799</v>
      </c>
    </row>
    <row r="126" spans="1:8">
      <c r="A126" s="3" t="s">
        <v>242</v>
      </c>
      <c r="B126" s="3" t="s">
        <v>234</v>
      </c>
      <c r="C126" s="3" t="s">
        <v>252</v>
      </c>
      <c r="D126" s="3" t="s">
        <v>238</v>
      </c>
      <c r="E126" s="3" t="s">
        <v>238</v>
      </c>
      <c r="F126" s="3" t="s">
        <v>238</v>
      </c>
      <c r="G126" s="74">
        <v>11771.5</v>
      </c>
      <c r="H126" s="70">
        <v>45660</v>
      </c>
    </row>
    <row r="127" spans="1:8">
      <c r="A127" s="3" t="s">
        <v>239</v>
      </c>
      <c r="B127" s="3" t="s">
        <v>244</v>
      </c>
      <c r="C127" s="3" t="s">
        <v>247</v>
      </c>
      <c r="D127" s="3" t="s">
        <v>236</v>
      </c>
      <c r="E127" s="3" t="s">
        <v>237</v>
      </c>
      <c r="F127" s="3" t="s">
        <v>238</v>
      </c>
      <c r="G127" s="74">
        <v>10440</v>
      </c>
      <c r="H127" s="70">
        <v>45758</v>
      </c>
    </row>
    <row r="128" spans="1:8">
      <c r="A128" s="3" t="s">
        <v>239</v>
      </c>
      <c r="B128" s="3" t="s">
        <v>244</v>
      </c>
      <c r="C128" s="3" t="s">
        <v>255</v>
      </c>
      <c r="D128" s="3" t="s">
        <v>238</v>
      </c>
      <c r="E128" s="3" t="s">
        <v>238</v>
      </c>
      <c r="F128" s="3" t="s">
        <v>238</v>
      </c>
      <c r="G128" s="74">
        <v>11400</v>
      </c>
      <c r="H128" s="70">
        <v>45703</v>
      </c>
    </row>
    <row r="129" spans="1:8">
      <c r="A129" s="3" t="s">
        <v>242</v>
      </c>
      <c r="B129" s="3" t="s">
        <v>243</v>
      </c>
      <c r="C129" s="3" t="s">
        <v>241</v>
      </c>
      <c r="D129" s="3" t="s">
        <v>236</v>
      </c>
      <c r="E129" s="3" t="s">
        <v>238</v>
      </c>
      <c r="F129" s="3" t="s">
        <v>238</v>
      </c>
      <c r="G129" s="74">
        <v>12852</v>
      </c>
      <c r="H129" s="70">
        <v>45945</v>
      </c>
    </row>
    <row r="130" spans="1:8">
      <c r="A130" s="3" t="s">
        <v>242</v>
      </c>
      <c r="B130" s="3" t="s">
        <v>243</v>
      </c>
      <c r="C130" s="3" t="s">
        <v>241</v>
      </c>
      <c r="D130" s="3" t="s">
        <v>236</v>
      </c>
      <c r="E130" s="3" t="s">
        <v>238</v>
      </c>
      <c r="F130" s="3" t="s">
        <v>238</v>
      </c>
      <c r="G130" s="74">
        <v>53565.5</v>
      </c>
      <c r="H130" s="70">
        <v>45995</v>
      </c>
    </row>
    <row r="131" spans="1:8">
      <c r="A131" s="3" t="s">
        <v>258</v>
      </c>
      <c r="B131" s="3" t="s">
        <v>240</v>
      </c>
      <c r="C131" s="3" t="s">
        <v>249</v>
      </c>
      <c r="D131" s="3" t="s">
        <v>238</v>
      </c>
      <c r="E131" s="3" t="s">
        <v>238</v>
      </c>
      <c r="F131" s="3" t="s">
        <v>238</v>
      </c>
      <c r="G131" s="74">
        <v>51417</v>
      </c>
      <c r="H131" s="70">
        <v>46020</v>
      </c>
    </row>
    <row r="132" spans="1:8">
      <c r="A132" s="3" t="s">
        <v>239</v>
      </c>
      <c r="B132" s="3" t="s">
        <v>234</v>
      </c>
      <c r="C132" s="3" t="s">
        <v>249</v>
      </c>
      <c r="D132" s="3" t="s">
        <v>236</v>
      </c>
      <c r="E132" s="3" t="s">
        <v>238</v>
      </c>
      <c r="F132" s="3" t="s">
        <v>238</v>
      </c>
      <c r="G132" s="74">
        <v>51305</v>
      </c>
      <c r="H132" s="70">
        <v>45935</v>
      </c>
    </row>
    <row r="133" spans="1:8">
      <c r="A133" s="3" t="s">
        <v>258</v>
      </c>
      <c r="B133" s="3" t="s">
        <v>240</v>
      </c>
      <c r="C133" s="3" t="s">
        <v>249</v>
      </c>
      <c r="D133" s="3" t="s">
        <v>238</v>
      </c>
      <c r="E133" s="3" t="s">
        <v>238</v>
      </c>
      <c r="F133" s="3" t="s">
        <v>238</v>
      </c>
      <c r="G133" s="74">
        <v>10129</v>
      </c>
      <c r="H133" s="70">
        <v>45998</v>
      </c>
    </row>
    <row r="134" spans="1:8">
      <c r="A134" s="3" t="s">
        <v>256</v>
      </c>
      <c r="B134" s="3" t="s">
        <v>244</v>
      </c>
      <c r="C134" s="3" t="s">
        <v>254</v>
      </c>
      <c r="D134" s="3" t="s">
        <v>238</v>
      </c>
      <c r="E134" s="3" t="s">
        <v>236</v>
      </c>
      <c r="F134" s="3" t="s">
        <v>238</v>
      </c>
      <c r="G134" s="74">
        <v>14145.5</v>
      </c>
      <c r="H134" s="70">
        <v>45952</v>
      </c>
    </row>
    <row r="135" spans="1:8">
      <c r="A135" s="3" t="s">
        <v>239</v>
      </c>
      <c r="B135" s="3" t="s">
        <v>240</v>
      </c>
      <c r="C135" s="3" t="s">
        <v>249</v>
      </c>
      <c r="D135" s="3" t="s">
        <v>236</v>
      </c>
      <c r="E135" s="3" t="s">
        <v>238</v>
      </c>
      <c r="F135" s="3" t="s">
        <v>238</v>
      </c>
      <c r="G135" s="74">
        <v>51462</v>
      </c>
      <c r="H135" s="70">
        <v>45761</v>
      </c>
    </row>
    <row r="136" spans="1:8">
      <c r="A136" s="3" t="s">
        <v>242</v>
      </c>
      <c r="B136" s="3" t="s">
        <v>263</v>
      </c>
      <c r="C136" s="3" t="s">
        <v>242</v>
      </c>
      <c r="D136" s="3" t="s">
        <v>238</v>
      </c>
      <c r="E136" s="3" t="s">
        <v>236</v>
      </c>
      <c r="F136" s="3" t="s">
        <v>238</v>
      </c>
      <c r="G136" s="74">
        <v>13133</v>
      </c>
      <c r="H136" s="70">
        <v>45878</v>
      </c>
    </row>
    <row r="137" spans="1:8">
      <c r="A137" s="3" t="s">
        <v>239</v>
      </c>
      <c r="B137" s="3" t="s">
        <v>234</v>
      </c>
      <c r="C137" s="3" t="s">
        <v>249</v>
      </c>
      <c r="D137" s="3" t="s">
        <v>236</v>
      </c>
      <c r="E137" s="3" t="s">
        <v>238</v>
      </c>
      <c r="F137" s="3" t="s">
        <v>238</v>
      </c>
      <c r="G137" s="74">
        <v>49926</v>
      </c>
      <c r="H137" s="70">
        <v>45878</v>
      </c>
    </row>
    <row r="138" spans="1:8">
      <c r="A138" s="3" t="s">
        <v>242</v>
      </c>
      <c r="B138" s="3" t="s">
        <v>243</v>
      </c>
      <c r="C138" s="3" t="s">
        <v>241</v>
      </c>
      <c r="D138" s="3" t="s">
        <v>236</v>
      </c>
      <c r="E138" s="3" t="s">
        <v>238</v>
      </c>
      <c r="F138" s="3" t="s">
        <v>238</v>
      </c>
      <c r="G138" s="74">
        <v>12981</v>
      </c>
      <c r="H138" s="70">
        <v>45802</v>
      </c>
    </row>
    <row r="139" spans="1:8">
      <c r="A139" s="3" t="s">
        <v>233</v>
      </c>
      <c r="B139" s="3" t="s">
        <v>257</v>
      </c>
      <c r="C139" s="3" t="s">
        <v>252</v>
      </c>
      <c r="D139" s="3" t="s">
        <v>236</v>
      </c>
      <c r="E139" s="3" t="s">
        <v>237</v>
      </c>
      <c r="F139" s="3" t="s">
        <v>238</v>
      </c>
      <c r="G139" s="74">
        <v>51560</v>
      </c>
      <c r="H139" s="70">
        <v>45953</v>
      </c>
    </row>
    <row r="140" spans="1:8">
      <c r="A140" s="3" t="s">
        <v>239</v>
      </c>
      <c r="B140" s="3" t="s">
        <v>234</v>
      </c>
      <c r="C140" s="3" t="s">
        <v>249</v>
      </c>
      <c r="D140" s="3" t="s">
        <v>236</v>
      </c>
      <c r="E140" s="3" t="s">
        <v>238</v>
      </c>
      <c r="F140" s="3" t="s">
        <v>238</v>
      </c>
      <c r="G140" s="74">
        <v>50050</v>
      </c>
      <c r="H140" s="70">
        <v>45809</v>
      </c>
    </row>
    <row r="141" spans="1:8">
      <c r="A141" s="3" t="s">
        <v>233</v>
      </c>
      <c r="B141" s="3" t="s">
        <v>257</v>
      </c>
      <c r="C141" s="3" t="s">
        <v>252</v>
      </c>
      <c r="D141" s="3" t="s">
        <v>238</v>
      </c>
      <c r="E141" s="3" t="s">
        <v>237</v>
      </c>
      <c r="F141" s="3" t="s">
        <v>238</v>
      </c>
      <c r="G141" s="74">
        <v>15506.57</v>
      </c>
      <c r="H141" s="70">
        <v>45937</v>
      </c>
    </row>
    <row r="142" spans="1:8">
      <c r="A142" s="3" t="s">
        <v>239</v>
      </c>
      <c r="B142" s="3" t="s">
        <v>234</v>
      </c>
      <c r="C142" s="3" t="s">
        <v>249</v>
      </c>
      <c r="D142" s="3" t="s">
        <v>236</v>
      </c>
      <c r="E142" s="3" t="s">
        <v>238</v>
      </c>
      <c r="F142" s="3" t="s">
        <v>238</v>
      </c>
      <c r="G142" s="74">
        <v>10202</v>
      </c>
      <c r="H142" s="70">
        <v>45960</v>
      </c>
    </row>
    <row r="143" spans="1:8">
      <c r="A143" s="3" t="s">
        <v>239</v>
      </c>
      <c r="B143" s="3" t="s">
        <v>240</v>
      </c>
      <c r="C143" s="3" t="s">
        <v>241</v>
      </c>
      <c r="D143" s="3" t="s">
        <v>236</v>
      </c>
      <c r="E143" s="3" t="s">
        <v>238</v>
      </c>
      <c r="F143" s="3" t="s">
        <v>238</v>
      </c>
      <c r="G143" s="74">
        <v>12250</v>
      </c>
      <c r="H143" s="70">
        <v>45848</v>
      </c>
    </row>
    <row r="144" spans="1:8">
      <c r="A144" s="3" t="s">
        <v>258</v>
      </c>
      <c r="B144" s="3" t="s">
        <v>240</v>
      </c>
      <c r="C144" s="3" t="s">
        <v>249</v>
      </c>
      <c r="D144" s="3" t="s">
        <v>238</v>
      </c>
      <c r="E144" s="3" t="s">
        <v>238</v>
      </c>
      <c r="F144" s="3" t="s">
        <v>238</v>
      </c>
      <c r="G144" s="74">
        <v>9842.5</v>
      </c>
      <c r="H144" s="70">
        <v>45958</v>
      </c>
    </row>
    <row r="145" spans="1:8">
      <c r="A145" s="3" t="s">
        <v>262</v>
      </c>
      <c r="B145" s="3" t="s">
        <v>240</v>
      </c>
      <c r="C145" s="3" t="s">
        <v>253</v>
      </c>
      <c r="D145" s="3" t="s">
        <v>236</v>
      </c>
      <c r="E145" s="3" t="s">
        <v>237</v>
      </c>
      <c r="F145" s="3" t="s">
        <v>238</v>
      </c>
      <c r="G145" s="74">
        <v>12384</v>
      </c>
      <c r="H145" s="70">
        <v>46010</v>
      </c>
    </row>
    <row r="146" spans="1:8">
      <c r="A146" s="3" t="s">
        <v>242</v>
      </c>
      <c r="B146" s="3" t="s">
        <v>234</v>
      </c>
      <c r="C146" s="3" t="s">
        <v>241</v>
      </c>
      <c r="D146" s="3" t="s">
        <v>238</v>
      </c>
      <c r="E146" s="3" t="s">
        <v>238</v>
      </c>
      <c r="F146" s="3" t="s">
        <v>238</v>
      </c>
      <c r="G146" s="74">
        <v>11605.5</v>
      </c>
      <c r="H146" s="70">
        <v>45695</v>
      </c>
    </row>
    <row r="147" spans="1:8">
      <c r="A147" s="3" t="s">
        <v>262</v>
      </c>
      <c r="B147" s="3" t="s">
        <v>240</v>
      </c>
      <c r="C147" s="3" t="s">
        <v>249</v>
      </c>
      <c r="D147" s="3" t="s">
        <v>238</v>
      </c>
      <c r="E147" s="3" t="s">
        <v>238</v>
      </c>
      <c r="F147" s="3" t="s">
        <v>238</v>
      </c>
      <c r="G147" s="74">
        <v>10144</v>
      </c>
      <c r="H147" s="70">
        <v>45859</v>
      </c>
    </row>
    <row r="148" spans="1:8">
      <c r="A148" s="3" t="s">
        <v>242</v>
      </c>
      <c r="B148" s="3" t="s">
        <v>243</v>
      </c>
      <c r="C148" s="3" t="s">
        <v>241</v>
      </c>
      <c r="D148" s="3" t="s">
        <v>236</v>
      </c>
      <c r="E148" s="3" t="s">
        <v>237</v>
      </c>
      <c r="F148" s="3" t="s">
        <v>236</v>
      </c>
      <c r="G148" s="74">
        <v>9128.5</v>
      </c>
      <c r="H148" s="70">
        <v>45983</v>
      </c>
    </row>
    <row r="149" spans="1:8">
      <c r="A149" s="3" t="s">
        <v>239</v>
      </c>
      <c r="B149" s="3" t="s">
        <v>234</v>
      </c>
      <c r="C149" s="3" t="s">
        <v>252</v>
      </c>
      <c r="D149" s="3" t="s">
        <v>236</v>
      </c>
      <c r="E149" s="3" t="s">
        <v>237</v>
      </c>
      <c r="F149" s="3" t="s">
        <v>238</v>
      </c>
      <c r="G149" s="74">
        <v>50063</v>
      </c>
      <c r="H149" s="70">
        <v>45717</v>
      </c>
    </row>
    <row r="150" spans="1:8">
      <c r="A150" s="3" t="s">
        <v>239</v>
      </c>
      <c r="B150" s="3" t="s">
        <v>234</v>
      </c>
      <c r="C150" s="3" t="s">
        <v>252</v>
      </c>
      <c r="D150" s="3" t="s">
        <v>236</v>
      </c>
      <c r="E150" s="3" t="s">
        <v>238</v>
      </c>
      <c r="F150" s="3" t="s">
        <v>238</v>
      </c>
      <c r="G150" s="74">
        <v>11575</v>
      </c>
      <c r="H150" s="70">
        <v>45945</v>
      </c>
    </row>
    <row r="151" spans="1:8">
      <c r="A151" s="3" t="s">
        <v>242</v>
      </c>
      <c r="B151" s="3" t="s">
        <v>234</v>
      </c>
      <c r="C151" s="3" t="s">
        <v>252</v>
      </c>
      <c r="D151" s="3" t="s">
        <v>238</v>
      </c>
      <c r="E151" s="3" t="s">
        <v>238</v>
      </c>
      <c r="F151" s="3" t="s">
        <v>238</v>
      </c>
      <c r="G151" s="74">
        <v>13979.25</v>
      </c>
      <c r="H151" s="70">
        <v>45899</v>
      </c>
    </row>
    <row r="152" spans="1:8">
      <c r="A152" s="3" t="s">
        <v>239</v>
      </c>
      <c r="B152" s="3" t="s">
        <v>240</v>
      </c>
      <c r="C152" s="3" t="s">
        <v>241</v>
      </c>
      <c r="D152" s="3" t="s">
        <v>238</v>
      </c>
      <c r="E152" s="3" t="s">
        <v>238</v>
      </c>
      <c r="F152" s="3" t="s">
        <v>238</v>
      </c>
      <c r="G152" s="74">
        <v>8915</v>
      </c>
      <c r="H152" s="70">
        <v>45970</v>
      </c>
    </row>
    <row r="153" spans="1:8">
      <c r="A153" s="3" t="s">
        <v>242</v>
      </c>
      <c r="B153" s="3" t="s">
        <v>243</v>
      </c>
      <c r="C153" s="3" t="s">
        <v>241</v>
      </c>
      <c r="D153" s="3" t="s">
        <v>236</v>
      </c>
      <c r="E153" s="3" t="s">
        <v>238</v>
      </c>
      <c r="F153" s="3" t="s">
        <v>238</v>
      </c>
      <c r="G153" s="74">
        <v>11351.5</v>
      </c>
      <c r="H153" s="70">
        <v>45777</v>
      </c>
    </row>
    <row r="154" spans="1:8">
      <c r="A154" s="3" t="s">
        <v>256</v>
      </c>
      <c r="B154" s="3" t="s">
        <v>240</v>
      </c>
      <c r="C154" s="3" t="s">
        <v>249</v>
      </c>
      <c r="D154" s="3" t="s">
        <v>236</v>
      </c>
      <c r="E154" s="3" t="s">
        <v>237</v>
      </c>
      <c r="F154" s="3" t="s">
        <v>238</v>
      </c>
      <c r="G154" s="74">
        <v>52703</v>
      </c>
      <c r="H154" s="70">
        <v>45800</v>
      </c>
    </row>
    <row r="155" spans="1:8">
      <c r="A155" s="3" t="s">
        <v>242</v>
      </c>
      <c r="B155" s="3" t="s">
        <v>257</v>
      </c>
      <c r="C155" s="3" t="s">
        <v>259</v>
      </c>
      <c r="D155" s="3" t="s">
        <v>236</v>
      </c>
      <c r="E155" s="3" t="s">
        <v>237</v>
      </c>
      <c r="F155" s="3" t="s">
        <v>238</v>
      </c>
      <c r="G155" s="74">
        <v>10600</v>
      </c>
      <c r="H155" s="70">
        <v>45765</v>
      </c>
    </row>
    <row r="156" spans="1:8">
      <c r="A156" s="3" t="s">
        <v>239</v>
      </c>
      <c r="B156" s="3" t="s">
        <v>240</v>
      </c>
      <c r="C156" s="3" t="s">
        <v>241</v>
      </c>
      <c r="D156" s="3" t="s">
        <v>236</v>
      </c>
      <c r="E156" s="3" t="s">
        <v>238</v>
      </c>
      <c r="F156" s="3" t="s">
        <v>238</v>
      </c>
      <c r="G156" s="74">
        <v>49925</v>
      </c>
      <c r="H156" s="70">
        <v>45859</v>
      </c>
    </row>
    <row r="157" spans="1:8">
      <c r="A157" s="3" t="s">
        <v>239</v>
      </c>
      <c r="B157" s="3" t="s">
        <v>244</v>
      </c>
      <c r="C157" s="3" t="s">
        <v>254</v>
      </c>
      <c r="D157" s="3" t="s">
        <v>236</v>
      </c>
      <c r="E157" s="3" t="s">
        <v>238</v>
      </c>
      <c r="F157" s="3" t="s">
        <v>238</v>
      </c>
      <c r="G157" s="74">
        <v>11500</v>
      </c>
      <c r="H157" s="70">
        <v>45986</v>
      </c>
    </row>
    <row r="158" spans="1:8">
      <c r="A158" s="3" t="s">
        <v>239</v>
      </c>
      <c r="B158" s="3" t="s">
        <v>244</v>
      </c>
      <c r="C158" s="3" t="s">
        <v>247</v>
      </c>
      <c r="D158" s="3" t="s">
        <v>238</v>
      </c>
      <c r="E158" s="3" t="s">
        <v>238</v>
      </c>
      <c r="F158" s="3" t="s">
        <v>238</v>
      </c>
      <c r="G158" s="74">
        <v>10500</v>
      </c>
      <c r="H158" s="70">
        <v>45933</v>
      </c>
    </row>
    <row r="159" spans="1:8">
      <c r="A159" s="3" t="s">
        <v>239</v>
      </c>
      <c r="B159" s="3" t="s">
        <v>245</v>
      </c>
      <c r="C159" s="3" t="s">
        <v>251</v>
      </c>
      <c r="D159" s="3" t="s">
        <v>238</v>
      </c>
      <c r="E159" s="3" t="s">
        <v>238</v>
      </c>
      <c r="F159" s="3" t="s">
        <v>238</v>
      </c>
      <c r="G159" s="74">
        <v>10075</v>
      </c>
      <c r="H159" s="70">
        <v>45967</v>
      </c>
    </row>
    <row r="160" spans="1:8">
      <c r="A160" s="3" t="s">
        <v>242</v>
      </c>
      <c r="B160" s="3" t="s">
        <v>243</v>
      </c>
      <c r="C160" s="3" t="s">
        <v>241</v>
      </c>
      <c r="D160" s="3" t="s">
        <v>236</v>
      </c>
      <c r="E160" s="3" t="s">
        <v>238</v>
      </c>
      <c r="F160" s="3" t="s">
        <v>238</v>
      </c>
      <c r="G160" s="74">
        <v>60921.5</v>
      </c>
      <c r="H160" s="70">
        <v>46009</v>
      </c>
    </row>
    <row r="161" spans="1:8">
      <c r="A161" s="3" t="s">
        <v>242</v>
      </c>
      <c r="B161" s="3" t="s">
        <v>243</v>
      </c>
      <c r="C161" s="3" t="s">
        <v>241</v>
      </c>
      <c r="D161" s="3" t="s">
        <v>236</v>
      </c>
      <c r="E161" s="3" t="s">
        <v>238</v>
      </c>
      <c r="F161" s="3" t="s">
        <v>238</v>
      </c>
      <c r="G161" s="74">
        <v>16111.5</v>
      </c>
      <c r="H161" s="70">
        <v>45973</v>
      </c>
    </row>
    <row r="162" spans="1:8">
      <c r="A162" s="3" t="s">
        <v>256</v>
      </c>
      <c r="B162" s="3" t="s">
        <v>264</v>
      </c>
      <c r="C162" s="3" t="s">
        <v>254</v>
      </c>
      <c r="D162" s="3" t="s">
        <v>238</v>
      </c>
      <c r="E162" s="3" t="s">
        <v>236</v>
      </c>
      <c r="F162" s="3" t="s">
        <v>238</v>
      </c>
      <c r="G162" s="74">
        <v>18936.849999999999</v>
      </c>
      <c r="H162" s="70">
        <v>45772</v>
      </c>
    </row>
    <row r="163" spans="1:8">
      <c r="A163" s="3" t="s">
        <v>239</v>
      </c>
      <c r="B163" s="3" t="s">
        <v>234</v>
      </c>
      <c r="C163" s="3" t="s">
        <v>252</v>
      </c>
      <c r="D163" s="3" t="s">
        <v>236</v>
      </c>
      <c r="E163" s="3" t="s">
        <v>237</v>
      </c>
      <c r="F163" s="3" t="s">
        <v>236</v>
      </c>
      <c r="G163" s="74">
        <v>11040</v>
      </c>
      <c r="H163" s="70">
        <v>45666</v>
      </c>
    </row>
    <row r="164" spans="1:8">
      <c r="A164" s="3" t="s">
        <v>239</v>
      </c>
      <c r="B164" s="3" t="s">
        <v>234</v>
      </c>
      <c r="C164" s="3" t="s">
        <v>252</v>
      </c>
      <c r="D164" s="3" t="s">
        <v>236</v>
      </c>
      <c r="E164" s="3" t="s">
        <v>237</v>
      </c>
      <c r="F164" s="3" t="s">
        <v>236</v>
      </c>
      <c r="G164" s="74">
        <v>11048</v>
      </c>
      <c r="H164" s="70">
        <v>45820</v>
      </c>
    </row>
    <row r="165" spans="1:8">
      <c r="A165" s="3" t="s">
        <v>239</v>
      </c>
      <c r="B165" s="3" t="s">
        <v>240</v>
      </c>
      <c r="C165" s="3" t="s">
        <v>241</v>
      </c>
      <c r="D165" s="3" t="s">
        <v>236</v>
      </c>
      <c r="E165" s="3" t="s">
        <v>237</v>
      </c>
      <c r="F165" s="3" t="s">
        <v>236</v>
      </c>
      <c r="G165" s="74">
        <v>12035.5</v>
      </c>
      <c r="H165" s="70">
        <v>45957</v>
      </c>
    </row>
    <row r="166" spans="1:8">
      <c r="A166" s="3" t="s">
        <v>239</v>
      </c>
      <c r="B166" s="3" t="s">
        <v>234</v>
      </c>
      <c r="C166" s="3" t="s">
        <v>252</v>
      </c>
      <c r="D166" s="3" t="s">
        <v>236</v>
      </c>
      <c r="E166" s="3" t="s">
        <v>237</v>
      </c>
      <c r="F166" s="3" t="s">
        <v>236</v>
      </c>
      <c r="G166" s="74">
        <v>9486.39</v>
      </c>
      <c r="H166" s="70">
        <v>45994</v>
      </c>
    </row>
    <row r="167" spans="1:8">
      <c r="A167" s="3" t="s">
        <v>239</v>
      </c>
      <c r="B167" s="3" t="s">
        <v>234</v>
      </c>
      <c r="C167" s="3" t="s">
        <v>249</v>
      </c>
      <c r="D167" s="3" t="s">
        <v>236</v>
      </c>
      <c r="E167" s="3" t="s">
        <v>237</v>
      </c>
      <c r="F167" s="3" t="s">
        <v>236</v>
      </c>
      <c r="G167" s="74">
        <v>6364</v>
      </c>
      <c r="H167" s="70">
        <v>45664</v>
      </c>
    </row>
    <row r="168" spans="1:8">
      <c r="A168" s="3" t="s">
        <v>233</v>
      </c>
      <c r="B168" s="3" t="s">
        <v>257</v>
      </c>
      <c r="C168" s="3" t="s">
        <v>252</v>
      </c>
      <c r="D168" s="3" t="s">
        <v>236</v>
      </c>
      <c r="E168" s="3" t="s">
        <v>237</v>
      </c>
      <c r="F168" s="3" t="s">
        <v>236</v>
      </c>
      <c r="G168" s="74">
        <v>11139.5</v>
      </c>
      <c r="H168" s="70">
        <v>45679</v>
      </c>
    </row>
    <row r="169" spans="1:8">
      <c r="A169" s="3" t="s">
        <v>233</v>
      </c>
      <c r="B169" s="3" t="s">
        <v>257</v>
      </c>
      <c r="C169" s="3" t="s">
        <v>252</v>
      </c>
      <c r="D169" s="3" t="s">
        <v>236</v>
      </c>
      <c r="E169" s="3" t="s">
        <v>237</v>
      </c>
      <c r="F169" s="3" t="s">
        <v>236</v>
      </c>
      <c r="G169" s="74">
        <v>15850</v>
      </c>
      <c r="H169" s="70">
        <v>45866</v>
      </c>
    </row>
    <row r="170" spans="1:8">
      <c r="A170" s="3" t="s">
        <v>233</v>
      </c>
      <c r="B170" s="3" t="s">
        <v>264</v>
      </c>
      <c r="C170" s="3" t="s">
        <v>254</v>
      </c>
      <c r="D170" s="3" t="s">
        <v>236</v>
      </c>
      <c r="E170" s="3" t="s">
        <v>238</v>
      </c>
      <c r="F170" s="3" t="s">
        <v>238</v>
      </c>
      <c r="G170" s="74">
        <v>13200</v>
      </c>
      <c r="H170" s="70">
        <v>45938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3B34-ADEF-4F1F-9AE6-3401DDF77636}">
  <sheetPr>
    <tabColor rgb="FF7030A0"/>
  </sheetPr>
  <dimension ref="A1:N39"/>
  <sheetViews>
    <sheetView workbookViewId="0">
      <selection activeCell="H23" sqref="H23"/>
    </sheetView>
  </sheetViews>
  <sheetFormatPr defaultRowHeight="14.45"/>
  <cols>
    <col min="1" max="1" width="10.5703125" bestFit="1" customWidth="1"/>
  </cols>
  <sheetData>
    <row r="1" spans="1:14" ht="15.6">
      <c r="A1" s="85" t="s">
        <v>268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</row>
    <row r="2" spans="1:1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>
      <c r="A3" t="s">
        <v>269</v>
      </c>
      <c r="B3" t="s">
        <v>270</v>
      </c>
      <c r="C3" t="s">
        <v>271</v>
      </c>
      <c r="D3" t="s">
        <v>272</v>
      </c>
      <c r="E3" t="s">
        <v>273</v>
      </c>
      <c r="F3" t="s">
        <v>274</v>
      </c>
      <c r="G3" t="s">
        <v>275</v>
      </c>
      <c r="H3" t="s">
        <v>276</v>
      </c>
      <c r="I3" t="s">
        <v>277</v>
      </c>
      <c r="J3" t="s">
        <v>278</v>
      </c>
      <c r="K3" t="s">
        <v>279</v>
      </c>
      <c r="L3" t="s">
        <v>280</v>
      </c>
      <c r="M3" t="s">
        <v>281</v>
      </c>
      <c r="N3" t="s">
        <v>225</v>
      </c>
    </row>
    <row r="4" spans="1:14">
      <c r="A4" t="s">
        <v>282</v>
      </c>
      <c r="B4">
        <v>1041</v>
      </c>
      <c r="C4">
        <v>1229</v>
      </c>
      <c r="D4">
        <v>1071</v>
      </c>
      <c r="E4">
        <v>1184</v>
      </c>
      <c r="F4">
        <v>1132</v>
      </c>
      <c r="G4">
        <v>1173</v>
      </c>
      <c r="H4">
        <v>1091</v>
      </c>
      <c r="I4">
        <v>997</v>
      </c>
      <c r="J4">
        <v>1056</v>
      </c>
      <c r="K4">
        <v>1157</v>
      </c>
      <c r="L4">
        <v>1206</v>
      </c>
      <c r="M4">
        <v>980</v>
      </c>
      <c r="N4">
        <f>SUM(B4:M4)</f>
        <v>13317</v>
      </c>
    </row>
    <row r="5" spans="1:14">
      <c r="A5" t="s">
        <v>283</v>
      </c>
      <c r="B5">
        <v>158</v>
      </c>
      <c r="C5">
        <v>151</v>
      </c>
      <c r="D5">
        <v>170</v>
      </c>
      <c r="E5">
        <v>232</v>
      </c>
      <c r="F5">
        <v>168</v>
      </c>
      <c r="G5">
        <v>125</v>
      </c>
      <c r="H5">
        <v>229</v>
      </c>
      <c r="I5">
        <v>142</v>
      </c>
      <c r="J5">
        <v>175</v>
      </c>
      <c r="K5">
        <v>228</v>
      </c>
      <c r="L5">
        <v>136</v>
      </c>
      <c r="M5">
        <v>160</v>
      </c>
      <c r="N5">
        <f t="shared" ref="N5:N15" si="0">SUM(B5:M5)</f>
        <v>2074</v>
      </c>
    </row>
    <row r="6" spans="1:14">
      <c r="A6" t="s">
        <v>284</v>
      </c>
      <c r="B6">
        <v>146</v>
      </c>
      <c r="C6">
        <v>220</v>
      </c>
      <c r="D6">
        <v>247</v>
      </c>
      <c r="E6">
        <v>210</v>
      </c>
      <c r="F6">
        <v>211</v>
      </c>
      <c r="G6">
        <v>100</v>
      </c>
      <c r="H6">
        <v>192</v>
      </c>
      <c r="I6">
        <v>250</v>
      </c>
      <c r="J6">
        <v>129</v>
      </c>
      <c r="K6">
        <v>196</v>
      </c>
      <c r="L6">
        <v>120</v>
      </c>
      <c r="M6">
        <v>133</v>
      </c>
      <c r="N6">
        <f t="shared" si="0"/>
        <v>2154</v>
      </c>
    </row>
    <row r="7" spans="1:14">
      <c r="A7" t="s">
        <v>285</v>
      </c>
      <c r="B7">
        <v>216</v>
      </c>
      <c r="C7">
        <v>157</v>
      </c>
      <c r="D7">
        <v>190</v>
      </c>
      <c r="E7">
        <v>202</v>
      </c>
      <c r="F7">
        <v>154</v>
      </c>
      <c r="G7">
        <v>224</v>
      </c>
      <c r="H7">
        <v>151</v>
      </c>
      <c r="I7">
        <v>109</v>
      </c>
      <c r="J7">
        <v>116</v>
      </c>
      <c r="K7">
        <v>179</v>
      </c>
      <c r="L7">
        <v>154</v>
      </c>
      <c r="M7">
        <v>119</v>
      </c>
      <c r="N7">
        <f t="shared" si="0"/>
        <v>1971</v>
      </c>
    </row>
    <row r="8" spans="1:14">
      <c r="A8" t="s">
        <v>286</v>
      </c>
      <c r="B8">
        <v>170</v>
      </c>
      <c r="C8">
        <v>114</v>
      </c>
      <c r="D8">
        <v>156</v>
      </c>
      <c r="E8">
        <v>141</v>
      </c>
      <c r="F8">
        <v>153</v>
      </c>
      <c r="G8">
        <v>249</v>
      </c>
      <c r="H8">
        <v>143</v>
      </c>
      <c r="I8">
        <v>166</v>
      </c>
      <c r="J8">
        <v>248</v>
      </c>
      <c r="K8">
        <v>176</v>
      </c>
      <c r="L8">
        <v>247</v>
      </c>
      <c r="M8">
        <v>245</v>
      </c>
      <c r="N8">
        <f t="shared" si="0"/>
        <v>2208</v>
      </c>
    </row>
    <row r="9" spans="1:14">
      <c r="A9" t="s">
        <v>287</v>
      </c>
      <c r="B9">
        <v>341</v>
      </c>
      <c r="C9">
        <v>454</v>
      </c>
      <c r="D9">
        <v>862</v>
      </c>
      <c r="E9">
        <v>525</v>
      </c>
      <c r="F9">
        <v>323</v>
      </c>
      <c r="G9">
        <v>392</v>
      </c>
      <c r="H9">
        <v>817</v>
      </c>
      <c r="I9">
        <v>321</v>
      </c>
      <c r="J9">
        <v>631</v>
      </c>
      <c r="K9">
        <v>594</v>
      </c>
      <c r="L9">
        <v>367</v>
      </c>
      <c r="M9">
        <v>637</v>
      </c>
      <c r="N9">
        <f t="shared" si="0"/>
        <v>6264</v>
      </c>
    </row>
    <row r="10" spans="1:14">
      <c r="A10" t="s">
        <v>288</v>
      </c>
      <c r="B10">
        <v>154</v>
      </c>
      <c r="C10">
        <v>161</v>
      </c>
      <c r="D10">
        <v>100</v>
      </c>
      <c r="E10">
        <v>218</v>
      </c>
      <c r="F10">
        <v>116</v>
      </c>
      <c r="G10">
        <v>173</v>
      </c>
      <c r="H10">
        <v>224</v>
      </c>
      <c r="I10">
        <v>163</v>
      </c>
      <c r="J10">
        <v>248</v>
      </c>
      <c r="K10">
        <v>189</v>
      </c>
      <c r="L10">
        <v>120</v>
      </c>
      <c r="M10">
        <v>172</v>
      </c>
      <c r="N10">
        <f t="shared" si="0"/>
        <v>2038</v>
      </c>
    </row>
    <row r="11" spans="1:14">
      <c r="A11" t="s">
        <v>289</v>
      </c>
      <c r="B11">
        <v>174</v>
      </c>
      <c r="C11">
        <v>203</v>
      </c>
      <c r="D11">
        <v>160</v>
      </c>
      <c r="E11">
        <v>170</v>
      </c>
      <c r="F11">
        <v>158</v>
      </c>
      <c r="G11">
        <v>149</v>
      </c>
      <c r="H11">
        <v>241</v>
      </c>
      <c r="I11">
        <v>180</v>
      </c>
      <c r="J11">
        <v>145</v>
      </c>
      <c r="K11">
        <v>195</v>
      </c>
      <c r="L11">
        <v>180</v>
      </c>
      <c r="M11">
        <v>165</v>
      </c>
      <c r="N11">
        <f t="shared" si="0"/>
        <v>2120</v>
      </c>
    </row>
    <row r="12" spans="1:14">
      <c r="A12" t="s">
        <v>290</v>
      </c>
      <c r="B12">
        <v>615</v>
      </c>
      <c r="C12">
        <v>511</v>
      </c>
      <c r="D12">
        <v>585</v>
      </c>
      <c r="E12">
        <v>446</v>
      </c>
      <c r="F12">
        <v>575</v>
      </c>
      <c r="G12">
        <v>629</v>
      </c>
      <c r="H12">
        <v>473</v>
      </c>
      <c r="I12">
        <v>505</v>
      </c>
      <c r="J12">
        <v>427</v>
      </c>
      <c r="K12">
        <v>400</v>
      </c>
      <c r="L12">
        <v>547</v>
      </c>
      <c r="M12">
        <v>641</v>
      </c>
      <c r="N12">
        <f t="shared" si="0"/>
        <v>6354</v>
      </c>
    </row>
    <row r="13" spans="1:14">
      <c r="A13" t="s">
        <v>291</v>
      </c>
      <c r="B13">
        <v>148</v>
      </c>
      <c r="C13">
        <v>190</v>
      </c>
      <c r="D13">
        <v>193</v>
      </c>
      <c r="E13">
        <v>243</v>
      </c>
      <c r="F13">
        <v>230</v>
      </c>
      <c r="G13">
        <v>200</v>
      </c>
      <c r="H13">
        <v>249</v>
      </c>
      <c r="I13">
        <v>171</v>
      </c>
      <c r="J13">
        <v>162</v>
      </c>
      <c r="K13">
        <v>108</v>
      </c>
      <c r="L13">
        <v>106</v>
      </c>
      <c r="M13">
        <v>193</v>
      </c>
      <c r="N13">
        <f t="shared" si="0"/>
        <v>2193</v>
      </c>
    </row>
    <row r="14" spans="1:14">
      <c r="A14" t="s">
        <v>292</v>
      </c>
      <c r="B14">
        <v>118</v>
      </c>
      <c r="C14">
        <v>228</v>
      </c>
      <c r="D14">
        <v>152</v>
      </c>
      <c r="E14">
        <v>104</v>
      </c>
      <c r="F14">
        <v>124</v>
      </c>
      <c r="G14">
        <v>168</v>
      </c>
      <c r="H14">
        <v>108</v>
      </c>
      <c r="I14">
        <v>169</v>
      </c>
      <c r="J14">
        <v>128</v>
      </c>
      <c r="K14">
        <v>118</v>
      </c>
      <c r="L14">
        <v>131</v>
      </c>
      <c r="M14">
        <v>213</v>
      </c>
      <c r="N14">
        <f t="shared" si="0"/>
        <v>1761</v>
      </c>
    </row>
    <row r="15" spans="1:14">
      <c r="A15" t="s">
        <v>225</v>
      </c>
      <c r="B15">
        <f>SUM(B4:B14)</f>
        <v>3281</v>
      </c>
      <c r="C15">
        <f t="shared" ref="C15:M15" si="1">SUM(C4:C14)</f>
        <v>3618</v>
      </c>
      <c r="D15">
        <f t="shared" si="1"/>
        <v>3886</v>
      </c>
      <c r="E15">
        <f t="shared" si="1"/>
        <v>3675</v>
      </c>
      <c r="F15">
        <f t="shared" si="1"/>
        <v>3344</v>
      </c>
      <c r="G15">
        <f t="shared" si="1"/>
        <v>3582</v>
      </c>
      <c r="H15">
        <f t="shared" si="1"/>
        <v>3918</v>
      </c>
      <c r="I15">
        <f t="shared" si="1"/>
        <v>3173</v>
      </c>
      <c r="J15">
        <f t="shared" si="1"/>
        <v>3465</v>
      </c>
      <c r="K15">
        <f t="shared" si="1"/>
        <v>3540</v>
      </c>
      <c r="L15">
        <f t="shared" si="1"/>
        <v>3314</v>
      </c>
      <c r="M15">
        <f t="shared" si="1"/>
        <v>3658</v>
      </c>
      <c r="N15">
        <f t="shared" si="0"/>
        <v>42454</v>
      </c>
    </row>
    <row r="16" spans="1:14" ht="15.6">
      <c r="A16" s="22"/>
      <c r="B16" s="22"/>
      <c r="C16" s="22"/>
      <c r="D16" s="22"/>
      <c r="E16" s="22"/>
      <c r="F16" s="23"/>
      <c r="G16" s="24"/>
      <c r="H16" s="24"/>
      <c r="I16" s="24"/>
      <c r="J16" s="24"/>
      <c r="K16" s="24"/>
      <c r="L16" s="24"/>
      <c r="M16" s="24"/>
      <c r="N16" s="24"/>
    </row>
    <row r="17" spans="1:14" ht="15.6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</row>
    <row r="18" spans="1:1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1:1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mergeCells count="1">
    <mergeCell ref="A1:N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EF51-2D7C-4C64-899A-F92C1A3D20E9}">
  <sheetPr>
    <tabColor theme="9" tint="0.39997558519241921"/>
  </sheetPr>
  <dimension ref="A1:F10"/>
  <sheetViews>
    <sheetView zoomScale="110" zoomScaleNormal="110" workbookViewId="0">
      <selection activeCell="P22" sqref="P22"/>
    </sheetView>
  </sheetViews>
  <sheetFormatPr defaultColWidth="9.140625" defaultRowHeight="14.45"/>
  <cols>
    <col min="1" max="1" width="12.85546875" bestFit="1" customWidth="1"/>
    <col min="2" max="4" width="10.140625" bestFit="1" customWidth="1"/>
    <col min="5" max="5" width="11.85546875" bestFit="1" customWidth="1"/>
    <col min="6" max="6" width="10.140625" bestFit="1" customWidth="1"/>
  </cols>
  <sheetData>
    <row r="1" spans="1:6">
      <c r="A1" s="86" t="s">
        <v>293</v>
      </c>
      <c r="B1" s="86"/>
      <c r="C1" s="86"/>
      <c r="D1" s="86"/>
      <c r="E1" s="86"/>
      <c r="F1" s="86"/>
    </row>
    <row r="2" spans="1:6">
      <c r="A2" s="4"/>
      <c r="B2" s="4"/>
      <c r="C2" s="4"/>
      <c r="D2" s="4"/>
      <c r="E2" s="26" t="s">
        <v>294</v>
      </c>
      <c r="F2" s="4"/>
    </row>
    <row r="3" spans="1:6">
      <c r="A3" s="27" t="s">
        <v>175</v>
      </c>
      <c r="B3" s="28" t="s">
        <v>295</v>
      </c>
      <c r="C3" s="28" t="s">
        <v>296</v>
      </c>
      <c r="D3" s="28" t="s">
        <v>297</v>
      </c>
      <c r="E3" s="29" t="s">
        <v>298</v>
      </c>
      <c r="F3" s="30" t="s">
        <v>225</v>
      </c>
    </row>
    <row r="4" spans="1:6">
      <c r="A4" s="31" t="s">
        <v>195</v>
      </c>
      <c r="B4" s="32">
        <v>544843</v>
      </c>
      <c r="C4" s="33">
        <v>568185</v>
      </c>
      <c r="D4" s="33">
        <v>701606</v>
      </c>
      <c r="E4" s="34">
        <v>690000</v>
      </c>
      <c r="F4" s="35">
        <f>SUM(B4:E4)</f>
        <v>2504634</v>
      </c>
    </row>
    <row r="5" spans="1:6">
      <c r="A5" s="36" t="s">
        <v>299</v>
      </c>
      <c r="B5" s="37">
        <v>333899</v>
      </c>
      <c r="C5" s="38">
        <v>357241</v>
      </c>
      <c r="D5" s="38">
        <v>380583</v>
      </c>
      <c r="E5" s="39">
        <v>370000</v>
      </c>
      <c r="F5" s="35">
        <f>SUM(B5:E5)</f>
        <v>1441723</v>
      </c>
    </row>
    <row r="6" spans="1:6">
      <c r="A6" s="36" t="s">
        <v>300</v>
      </c>
      <c r="B6" s="37">
        <v>699933</v>
      </c>
      <c r="C6" s="38">
        <v>623275</v>
      </c>
      <c r="D6" s="38">
        <v>646617</v>
      </c>
      <c r="E6" s="39">
        <v>640000</v>
      </c>
      <c r="F6" s="35">
        <f>SUM(B6:E6)</f>
        <v>2609825</v>
      </c>
    </row>
    <row r="7" spans="1:6">
      <c r="A7" s="36" t="s">
        <v>4</v>
      </c>
      <c r="B7" s="37">
        <v>123444</v>
      </c>
      <c r="C7" s="38">
        <v>146786</v>
      </c>
      <c r="D7" s="38">
        <v>170128</v>
      </c>
      <c r="E7" s="39">
        <v>166000</v>
      </c>
      <c r="F7" s="35">
        <f>SUM(B7:E7)</f>
        <v>606358</v>
      </c>
    </row>
    <row r="8" spans="1:6">
      <c r="A8" s="40" t="s">
        <v>211</v>
      </c>
      <c r="B8" s="41">
        <v>143434</v>
      </c>
      <c r="C8" s="42">
        <v>133656</v>
      </c>
      <c r="D8" s="42">
        <v>123333</v>
      </c>
      <c r="E8" s="43">
        <v>120000</v>
      </c>
      <c r="F8" s="35">
        <f>SUM(B8:E8)</f>
        <v>520423</v>
      </c>
    </row>
    <row r="9" spans="1:6">
      <c r="A9" s="44" t="s">
        <v>225</v>
      </c>
      <c r="B9" s="45">
        <f>SUM(B4:B8)</f>
        <v>1845553</v>
      </c>
      <c r="C9" s="45">
        <f>SUM(C4:C8)</f>
        <v>1829143</v>
      </c>
      <c r="D9" s="45">
        <f>SUM(D4:D8)</f>
        <v>2022267</v>
      </c>
      <c r="E9" s="46">
        <f>SUM(E4:E8)</f>
        <v>1986000</v>
      </c>
      <c r="F9" s="47">
        <f>SUM(F4:F8)</f>
        <v>7682963</v>
      </c>
    </row>
    <row r="10" spans="1:6">
      <c r="A10" s="48"/>
      <c r="B10" s="48"/>
      <c r="C10" s="48"/>
      <c r="D10" s="4"/>
      <c r="E10" s="4"/>
      <c r="F10" s="7"/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1608-5E11-45BF-9C5A-EA3C71241172}">
  <sheetPr>
    <tabColor rgb="FF7030A0"/>
  </sheetPr>
  <dimension ref="A1:Q24"/>
  <sheetViews>
    <sheetView tabSelected="1" zoomScale="102" zoomScaleNormal="102" workbookViewId="0">
      <selection activeCell="I9" sqref="I9"/>
    </sheetView>
  </sheetViews>
  <sheetFormatPr defaultColWidth="9" defaultRowHeight="12.95"/>
  <cols>
    <col min="1" max="1" width="22.5703125" style="18" bestFit="1" customWidth="1"/>
    <col min="2" max="14" width="9" style="18"/>
    <col min="15" max="15" width="9.5703125" style="18" bestFit="1" customWidth="1"/>
    <col min="16" max="16" width="13.42578125" style="18" customWidth="1"/>
    <col min="17" max="16384" width="9" style="18"/>
  </cols>
  <sheetData>
    <row r="1" spans="1:17" ht="14.45">
      <c r="A1" s="4" t="s">
        <v>301</v>
      </c>
      <c r="B1" s="19"/>
      <c r="C1" s="19"/>
      <c r="D1" s="19"/>
      <c r="E1" s="20"/>
      <c r="F1" s="20"/>
      <c r="G1" s="20"/>
      <c r="H1" s="20"/>
      <c r="I1" s="20"/>
      <c r="J1" s="20"/>
      <c r="K1" s="20"/>
      <c r="L1" s="20"/>
      <c r="M1" s="20"/>
      <c r="O1"/>
      <c r="P1" t="s">
        <v>302</v>
      </c>
      <c r="Q1"/>
    </row>
    <row r="2" spans="1:17" ht="14.45">
      <c r="O2"/>
      <c r="P2" t="s">
        <v>303</v>
      </c>
      <c r="Q2"/>
    </row>
    <row r="3" spans="1:17" ht="14.45">
      <c r="A3"/>
      <c r="B3" t="s">
        <v>304</v>
      </c>
      <c r="C3" t="s">
        <v>305</v>
      </c>
      <c r="D3" t="s">
        <v>306</v>
      </c>
      <c r="E3" t="s">
        <v>307</v>
      </c>
      <c r="F3" t="s">
        <v>274</v>
      </c>
      <c r="G3" t="s">
        <v>308</v>
      </c>
      <c r="H3" t="s">
        <v>309</v>
      </c>
      <c r="I3" t="s">
        <v>310</v>
      </c>
      <c r="J3" t="s">
        <v>311</v>
      </c>
      <c r="K3" t="s">
        <v>312</v>
      </c>
      <c r="L3" t="s">
        <v>313</v>
      </c>
      <c r="M3" t="s">
        <v>314</v>
      </c>
      <c r="O3"/>
      <c r="P3" t="s">
        <v>315</v>
      </c>
      <c r="Q3"/>
    </row>
    <row r="4" spans="1:17" ht="14.45">
      <c r="A4" t="s">
        <v>316</v>
      </c>
      <c r="B4" s="19">
        <v>2000</v>
      </c>
      <c r="C4" s="19">
        <v>2000</v>
      </c>
      <c r="D4" s="19">
        <v>2000</v>
      </c>
      <c r="E4" s="19">
        <v>2000</v>
      </c>
      <c r="F4" s="19">
        <v>2000</v>
      </c>
      <c r="G4" s="19">
        <v>2000</v>
      </c>
      <c r="H4" s="19">
        <v>2000</v>
      </c>
      <c r="I4" s="19">
        <v>2000</v>
      </c>
      <c r="J4" s="19">
        <v>2000</v>
      </c>
      <c r="K4" s="19">
        <v>2000</v>
      </c>
      <c r="L4" s="19">
        <v>2000</v>
      </c>
      <c r="M4" s="19">
        <v>2000</v>
      </c>
      <c r="O4"/>
      <c r="P4"/>
      <c r="Q4"/>
    </row>
    <row r="5" spans="1:17" ht="14.45">
      <c r="A5" t="s">
        <v>317</v>
      </c>
      <c r="B5" s="19">
        <v>695</v>
      </c>
      <c r="C5" s="19">
        <v>695</v>
      </c>
      <c r="D5" s="19">
        <v>695</v>
      </c>
      <c r="E5" s="19">
        <v>695</v>
      </c>
      <c r="F5" s="19">
        <v>695</v>
      </c>
      <c r="G5" s="19">
        <v>695</v>
      </c>
      <c r="H5" s="19">
        <v>695</v>
      </c>
      <c r="I5" s="19">
        <v>695</v>
      </c>
      <c r="J5" s="19">
        <v>695</v>
      </c>
      <c r="K5" s="19">
        <v>695</v>
      </c>
      <c r="L5" s="19">
        <v>695</v>
      </c>
      <c r="M5" s="19">
        <v>695</v>
      </c>
      <c r="O5"/>
      <c r="P5" s="49" t="s">
        <v>318</v>
      </c>
      <c r="Q5"/>
    </row>
    <row r="6" spans="1:17" ht="14.45">
      <c r="A6" t="s">
        <v>319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9">
        <v>800.5</v>
      </c>
      <c r="H6" s="19">
        <v>1050</v>
      </c>
      <c r="I6" s="19">
        <v>1050</v>
      </c>
      <c r="J6" s="19">
        <v>1050</v>
      </c>
      <c r="K6" s="18">
        <v>0</v>
      </c>
      <c r="L6" s="18">
        <v>0</v>
      </c>
      <c r="M6" s="18">
        <v>0</v>
      </c>
      <c r="O6" s="50" t="s">
        <v>320</v>
      </c>
      <c r="P6">
        <v>7878</v>
      </c>
      <c r="Q6"/>
    </row>
    <row r="7" spans="1:17" ht="14.45">
      <c r="A7" t="s">
        <v>225</v>
      </c>
      <c r="B7" s="18">
        <f t="shared" ref="B7:M7" si="0">SUM(B4:B6)</f>
        <v>2695</v>
      </c>
      <c r="C7" s="18">
        <f t="shared" si="0"/>
        <v>2695</v>
      </c>
      <c r="D7" s="18">
        <f t="shared" si="0"/>
        <v>2695</v>
      </c>
      <c r="E7" s="18">
        <f t="shared" si="0"/>
        <v>2695</v>
      </c>
      <c r="F7" s="18">
        <f t="shared" si="0"/>
        <v>2695</v>
      </c>
      <c r="G7" s="18">
        <f t="shared" si="0"/>
        <v>3495.5</v>
      </c>
      <c r="H7" s="18">
        <f t="shared" si="0"/>
        <v>3745</v>
      </c>
      <c r="I7" s="18">
        <f t="shared" si="0"/>
        <v>3745</v>
      </c>
      <c r="J7" s="18">
        <f t="shared" si="0"/>
        <v>3745</v>
      </c>
      <c r="K7" s="18">
        <f t="shared" si="0"/>
        <v>2695</v>
      </c>
      <c r="L7" s="18">
        <f t="shared" si="0"/>
        <v>2695</v>
      </c>
      <c r="M7" s="18">
        <f t="shared" si="0"/>
        <v>2695</v>
      </c>
      <c r="O7" s="50" t="s">
        <v>321</v>
      </c>
      <c r="P7">
        <v>-7878</v>
      </c>
      <c r="Q7"/>
    </row>
    <row r="8" spans="1:17" ht="14.45">
      <c r="A8" t="s">
        <v>322</v>
      </c>
      <c r="B8" s="19">
        <v>233</v>
      </c>
      <c r="C8" s="19">
        <v>443</v>
      </c>
      <c r="D8" s="19">
        <v>23</v>
      </c>
      <c r="E8" s="19">
        <v>100</v>
      </c>
      <c r="F8" s="19">
        <v>232</v>
      </c>
      <c r="G8" s="19">
        <v>224</v>
      </c>
      <c r="H8" s="19">
        <v>105</v>
      </c>
      <c r="I8" s="19">
        <v>333</v>
      </c>
      <c r="J8" s="19">
        <v>235</v>
      </c>
      <c r="K8" s="19">
        <v>572</v>
      </c>
      <c r="L8" s="19">
        <v>322</v>
      </c>
      <c r="M8" s="19">
        <v>24</v>
      </c>
      <c r="O8"/>
      <c r="P8"/>
      <c r="Q8"/>
    </row>
    <row r="9" spans="1:17" ht="14.45">
      <c r="A9" t="s">
        <v>323</v>
      </c>
      <c r="B9" s="19">
        <v>12</v>
      </c>
      <c r="C9" s="19">
        <v>10</v>
      </c>
      <c r="D9" s="19">
        <v>12</v>
      </c>
      <c r="E9" s="19">
        <v>12</v>
      </c>
      <c r="F9" s="19">
        <v>11</v>
      </c>
      <c r="G9" s="19">
        <v>11</v>
      </c>
      <c r="H9" s="19">
        <v>11</v>
      </c>
      <c r="I9" s="19">
        <v>11</v>
      </c>
      <c r="J9" s="19">
        <v>10</v>
      </c>
      <c r="K9" s="19">
        <v>10</v>
      </c>
      <c r="L9" s="19">
        <v>10</v>
      </c>
      <c r="M9" s="19">
        <v>10</v>
      </c>
      <c r="O9"/>
      <c r="P9" s="49" t="s">
        <v>324</v>
      </c>
      <c r="Q9"/>
    </row>
    <row r="10" spans="1:17" ht="14.45">
      <c r="A10" t="s">
        <v>325</v>
      </c>
      <c r="B10" s="19">
        <v>140</v>
      </c>
      <c r="C10" s="19">
        <v>100</v>
      </c>
      <c r="D10" s="19">
        <v>100</v>
      </c>
      <c r="E10" s="19">
        <v>105</v>
      </c>
      <c r="F10" s="19">
        <v>95</v>
      </c>
      <c r="G10" s="19">
        <v>100</v>
      </c>
      <c r="H10" s="19">
        <v>100</v>
      </c>
      <c r="I10" s="19">
        <v>135</v>
      </c>
      <c r="J10" s="19">
        <v>85</v>
      </c>
      <c r="K10" s="19">
        <v>100</v>
      </c>
      <c r="L10" s="19">
        <v>110</v>
      </c>
      <c r="M10" s="19">
        <v>90</v>
      </c>
      <c r="O10" s="50" t="s">
        <v>320</v>
      </c>
      <c r="P10">
        <v>7878</v>
      </c>
      <c r="Q10"/>
    </row>
    <row r="11" spans="1:17" ht="14.45">
      <c r="A11" t="s">
        <v>326</v>
      </c>
      <c r="B11" s="19">
        <v>27.5</v>
      </c>
      <c r="C11" s="19">
        <v>27.5</v>
      </c>
      <c r="D11" s="19">
        <v>27.5</v>
      </c>
      <c r="E11" s="19">
        <v>27.5</v>
      </c>
      <c r="F11" s="19">
        <v>27.5</v>
      </c>
      <c r="G11" s="19">
        <v>27.5</v>
      </c>
      <c r="H11" s="19">
        <v>27.5</v>
      </c>
      <c r="I11" s="19">
        <v>27.5</v>
      </c>
      <c r="J11" s="19">
        <v>27.5</v>
      </c>
      <c r="K11" s="19">
        <v>27.5</v>
      </c>
      <c r="L11" s="19">
        <v>27.5</v>
      </c>
      <c r="M11" s="19">
        <v>27.5</v>
      </c>
      <c r="O11" s="50" t="s">
        <v>321</v>
      </c>
      <c r="P11">
        <v>-7878</v>
      </c>
      <c r="Q11"/>
    </row>
    <row r="12" spans="1:17" ht="14.45">
      <c r="A12" t="s">
        <v>327</v>
      </c>
      <c r="B12" s="19">
        <v>107</v>
      </c>
      <c r="C12" s="19">
        <v>107</v>
      </c>
      <c r="D12" s="19">
        <v>107</v>
      </c>
      <c r="E12" s="19">
        <v>107</v>
      </c>
      <c r="F12" s="19">
        <v>107</v>
      </c>
      <c r="G12" s="19">
        <v>107</v>
      </c>
      <c r="H12" s="19">
        <v>107</v>
      </c>
      <c r="I12" s="19">
        <v>107</v>
      </c>
      <c r="J12" s="19">
        <v>107</v>
      </c>
      <c r="K12" s="19">
        <v>107</v>
      </c>
      <c r="L12" s="19">
        <v>107</v>
      </c>
      <c r="M12" s="19">
        <v>107</v>
      </c>
      <c r="O12"/>
      <c r="P12"/>
      <c r="Q12"/>
    </row>
    <row r="13" spans="1:17" ht="14.45">
      <c r="A13" t="s">
        <v>328</v>
      </c>
      <c r="B13" s="19">
        <v>99</v>
      </c>
      <c r="C13" s="19">
        <v>99</v>
      </c>
      <c r="D13" s="19">
        <v>99</v>
      </c>
      <c r="E13" s="19">
        <v>99</v>
      </c>
      <c r="F13" s="19">
        <v>99</v>
      </c>
      <c r="G13" s="19">
        <v>99</v>
      </c>
      <c r="H13" s="19">
        <v>99</v>
      </c>
      <c r="I13" s="19">
        <v>99</v>
      </c>
      <c r="J13" s="19">
        <v>99</v>
      </c>
      <c r="K13" s="19">
        <v>99</v>
      </c>
      <c r="L13" s="19">
        <v>99</v>
      </c>
      <c r="M13" s="19">
        <v>99</v>
      </c>
      <c r="O13"/>
      <c r="P13" s="49" t="s">
        <v>329</v>
      </c>
      <c r="Q13"/>
    </row>
    <row r="14" spans="1:17" ht="14.45">
      <c r="A14" t="s">
        <v>330</v>
      </c>
      <c r="B14" s="19">
        <v>34</v>
      </c>
      <c r="C14" s="19">
        <v>34</v>
      </c>
      <c r="D14" s="19">
        <v>34</v>
      </c>
      <c r="E14" s="19">
        <v>34</v>
      </c>
      <c r="F14" s="19">
        <v>34</v>
      </c>
      <c r="G14" s="19">
        <v>34</v>
      </c>
      <c r="H14" s="19">
        <v>34</v>
      </c>
      <c r="I14" s="19">
        <v>34</v>
      </c>
      <c r="J14" s="19">
        <v>34</v>
      </c>
      <c r="K14" s="19">
        <v>34</v>
      </c>
      <c r="L14" s="19">
        <v>34</v>
      </c>
      <c r="M14" s="19">
        <v>34</v>
      </c>
      <c r="O14" s="50" t="s">
        <v>320</v>
      </c>
      <c r="P14" s="51">
        <v>0.56889999999999996</v>
      </c>
      <c r="Q14"/>
    </row>
    <row r="15" spans="1:17" ht="14.45">
      <c r="A15" t="s">
        <v>331</v>
      </c>
      <c r="B15" s="19">
        <v>69</v>
      </c>
      <c r="C15" s="19">
        <v>69</v>
      </c>
      <c r="D15" s="19">
        <v>69</v>
      </c>
      <c r="E15" s="19">
        <v>69</v>
      </c>
      <c r="F15" s="19">
        <v>69</v>
      </c>
      <c r="G15" s="19">
        <v>75</v>
      </c>
      <c r="H15" s="19">
        <v>75</v>
      </c>
      <c r="I15" s="19">
        <v>75</v>
      </c>
      <c r="J15" s="19">
        <v>75</v>
      </c>
      <c r="K15" s="19">
        <v>70</v>
      </c>
      <c r="L15" s="19">
        <v>70</v>
      </c>
      <c r="M15" s="19">
        <v>70</v>
      </c>
      <c r="O15" s="50" t="s">
        <v>321</v>
      </c>
      <c r="P15" s="52">
        <v>-0.89980000000000004</v>
      </c>
      <c r="Q15"/>
    </row>
    <row r="16" spans="1:17" ht="14.45">
      <c r="A16" t="s">
        <v>332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9">
        <v>147</v>
      </c>
      <c r="K16" s="18">
        <v>0</v>
      </c>
      <c r="L16" s="18">
        <v>0</v>
      </c>
      <c r="M16" s="18">
        <v>0</v>
      </c>
      <c r="O16"/>
      <c r="P16"/>
      <c r="Q16"/>
    </row>
    <row r="17" spans="1:13" ht="14.45">
      <c r="A17" t="s">
        <v>333</v>
      </c>
      <c r="B17" s="19">
        <v>1000</v>
      </c>
      <c r="C17" s="19">
        <v>1000</v>
      </c>
      <c r="D17" s="19">
        <v>1000</v>
      </c>
      <c r="E17" s="19">
        <v>1000</v>
      </c>
      <c r="F17" s="19">
        <v>1000</v>
      </c>
      <c r="G17" s="19">
        <v>1000</v>
      </c>
      <c r="H17" s="19">
        <v>1000</v>
      </c>
      <c r="I17" s="19">
        <v>1000</v>
      </c>
      <c r="J17" s="19">
        <v>1000</v>
      </c>
      <c r="K17" s="19">
        <v>1000</v>
      </c>
      <c r="L17" s="19">
        <v>1000</v>
      </c>
      <c r="M17" s="19">
        <v>1000</v>
      </c>
    </row>
    <row r="18" spans="1:13" ht="14.45">
      <c r="A18" t="s">
        <v>334</v>
      </c>
      <c r="B18" s="19">
        <v>2000</v>
      </c>
      <c r="C18" s="19">
        <v>2000</v>
      </c>
      <c r="D18" s="19">
        <v>2000</v>
      </c>
      <c r="E18" s="19">
        <v>2000</v>
      </c>
      <c r="F18" s="19">
        <v>2000</v>
      </c>
      <c r="G18" s="19">
        <v>2000</v>
      </c>
      <c r="H18" s="19">
        <v>2000</v>
      </c>
      <c r="I18" s="19">
        <v>2000</v>
      </c>
      <c r="J18" s="19">
        <v>2000</v>
      </c>
      <c r="K18" s="19">
        <v>2000</v>
      </c>
      <c r="L18" s="19">
        <v>2000</v>
      </c>
      <c r="M18" s="19">
        <v>2000</v>
      </c>
    </row>
    <row r="19" spans="1:13" ht="14.45">
      <c r="A19" t="s">
        <v>225</v>
      </c>
      <c r="B19" s="18">
        <f t="shared" ref="B19:M19" si="1">SUM(B8:B18)</f>
        <v>3721.5</v>
      </c>
      <c r="C19" s="18">
        <f t="shared" si="1"/>
        <v>3889.5</v>
      </c>
      <c r="D19" s="18">
        <f t="shared" si="1"/>
        <v>3471.5</v>
      </c>
      <c r="E19" s="18">
        <f t="shared" si="1"/>
        <v>3553.5</v>
      </c>
      <c r="F19" s="18">
        <f t="shared" si="1"/>
        <v>3674.5</v>
      </c>
      <c r="G19" s="18">
        <f t="shared" si="1"/>
        <v>3677.5</v>
      </c>
      <c r="H19" s="18">
        <f t="shared" si="1"/>
        <v>3558.5</v>
      </c>
      <c r="I19" s="18">
        <f t="shared" si="1"/>
        <v>3821.5</v>
      </c>
      <c r="J19" s="18">
        <f t="shared" si="1"/>
        <v>3819.5</v>
      </c>
      <c r="K19" s="18">
        <f t="shared" si="1"/>
        <v>4019.5</v>
      </c>
      <c r="L19" s="18">
        <f t="shared" si="1"/>
        <v>3779.5</v>
      </c>
      <c r="M19" s="18">
        <f t="shared" si="1"/>
        <v>3461.5</v>
      </c>
    </row>
    <row r="20" spans="1:13" ht="14.45">
      <c r="A20" t="s">
        <v>335</v>
      </c>
      <c r="B20" s="18">
        <f t="shared" ref="B20:M20" si="2">AVERAGE(B8:B18)</f>
        <v>338.31818181818181</v>
      </c>
      <c r="C20" s="18">
        <f t="shared" si="2"/>
        <v>353.59090909090907</v>
      </c>
      <c r="D20" s="18">
        <f t="shared" si="2"/>
        <v>315.59090909090907</v>
      </c>
      <c r="E20" s="18">
        <f t="shared" si="2"/>
        <v>323.04545454545456</v>
      </c>
      <c r="F20" s="18">
        <f t="shared" si="2"/>
        <v>334.04545454545456</v>
      </c>
      <c r="G20" s="18">
        <f t="shared" si="2"/>
        <v>334.31818181818181</v>
      </c>
      <c r="H20" s="18">
        <f t="shared" si="2"/>
        <v>323.5</v>
      </c>
      <c r="I20" s="18">
        <f t="shared" si="2"/>
        <v>347.40909090909093</v>
      </c>
      <c r="J20" s="18">
        <f t="shared" si="2"/>
        <v>347.22727272727275</v>
      </c>
      <c r="K20" s="18">
        <f t="shared" si="2"/>
        <v>365.40909090909093</v>
      </c>
      <c r="L20" s="18">
        <f t="shared" si="2"/>
        <v>343.59090909090907</v>
      </c>
      <c r="M20" s="18">
        <f t="shared" si="2"/>
        <v>314.68181818181819</v>
      </c>
    </row>
    <row r="21" spans="1:13" ht="14.45">
      <c r="A21" t="s">
        <v>336</v>
      </c>
      <c r="B21" s="18">
        <f t="shared" ref="B21:M21" si="3">MAX(B8:B18)</f>
        <v>2000</v>
      </c>
      <c r="C21" s="18">
        <f t="shared" si="3"/>
        <v>2000</v>
      </c>
      <c r="D21" s="18">
        <f t="shared" si="3"/>
        <v>2000</v>
      </c>
      <c r="E21" s="18">
        <f t="shared" si="3"/>
        <v>2000</v>
      </c>
      <c r="F21" s="18">
        <f t="shared" si="3"/>
        <v>2000</v>
      </c>
      <c r="G21" s="18">
        <f t="shared" si="3"/>
        <v>2000</v>
      </c>
      <c r="H21" s="18">
        <f t="shared" si="3"/>
        <v>2000</v>
      </c>
      <c r="I21" s="18">
        <f t="shared" si="3"/>
        <v>2000</v>
      </c>
      <c r="J21" s="18">
        <f t="shared" si="3"/>
        <v>2000</v>
      </c>
      <c r="K21" s="18">
        <f t="shared" si="3"/>
        <v>2000</v>
      </c>
      <c r="L21" s="18">
        <f t="shared" si="3"/>
        <v>2000</v>
      </c>
      <c r="M21" s="18">
        <f t="shared" si="3"/>
        <v>2000</v>
      </c>
    </row>
    <row r="22" spans="1:13" ht="14.45">
      <c r="A22" t="s">
        <v>337</v>
      </c>
      <c r="B22" s="18">
        <f t="shared" ref="B22:M22" si="4">MIN(B8:B18)</f>
        <v>0</v>
      </c>
      <c r="C22" s="18">
        <f t="shared" si="4"/>
        <v>0</v>
      </c>
      <c r="D22" s="18">
        <f t="shared" si="4"/>
        <v>0</v>
      </c>
      <c r="E22" s="18">
        <f t="shared" si="4"/>
        <v>0</v>
      </c>
      <c r="F22" s="18">
        <f t="shared" si="4"/>
        <v>0</v>
      </c>
      <c r="G22" s="18">
        <f t="shared" si="4"/>
        <v>0</v>
      </c>
      <c r="H22" s="18">
        <f t="shared" si="4"/>
        <v>0</v>
      </c>
      <c r="I22" s="18">
        <f t="shared" si="4"/>
        <v>0</v>
      </c>
      <c r="J22" s="18">
        <f t="shared" si="4"/>
        <v>10</v>
      </c>
      <c r="K22" s="18">
        <f t="shared" si="4"/>
        <v>0</v>
      </c>
      <c r="L22" s="18">
        <f t="shared" si="4"/>
        <v>0</v>
      </c>
      <c r="M22" s="18">
        <f t="shared" si="4"/>
        <v>0</v>
      </c>
    </row>
    <row r="23" spans="1:13" ht="14.45">
      <c r="A23" t="s">
        <v>338</v>
      </c>
      <c r="B23" s="18">
        <f t="shared" ref="B23:M23" si="5">COUNT(B8:B18)</f>
        <v>11</v>
      </c>
      <c r="C23" s="18">
        <f t="shared" si="5"/>
        <v>11</v>
      </c>
      <c r="D23" s="18">
        <f t="shared" si="5"/>
        <v>11</v>
      </c>
      <c r="E23" s="18">
        <f t="shared" si="5"/>
        <v>11</v>
      </c>
      <c r="F23" s="18">
        <f t="shared" si="5"/>
        <v>11</v>
      </c>
      <c r="G23" s="18">
        <f t="shared" si="5"/>
        <v>11</v>
      </c>
      <c r="H23" s="18">
        <f t="shared" si="5"/>
        <v>11</v>
      </c>
      <c r="I23" s="18">
        <f t="shared" si="5"/>
        <v>11</v>
      </c>
      <c r="J23" s="18">
        <f t="shared" si="5"/>
        <v>11</v>
      </c>
      <c r="K23" s="18">
        <f t="shared" si="5"/>
        <v>11</v>
      </c>
      <c r="L23" s="18">
        <f t="shared" si="5"/>
        <v>11</v>
      </c>
      <c r="M23" s="18">
        <f t="shared" si="5"/>
        <v>11</v>
      </c>
    </row>
    <row r="24" spans="1:13" ht="14.45">
      <c r="A24" t="s">
        <v>339</v>
      </c>
      <c r="B24" s="18">
        <f t="shared" ref="B24:M24" si="6">B7-B19</f>
        <v>-1026.5</v>
      </c>
      <c r="C24" s="18">
        <f t="shared" si="6"/>
        <v>-1194.5</v>
      </c>
      <c r="D24" s="18">
        <f t="shared" si="6"/>
        <v>-776.5</v>
      </c>
      <c r="E24" s="19">
        <f t="shared" si="6"/>
        <v>-858.5</v>
      </c>
      <c r="F24" s="19">
        <f t="shared" si="6"/>
        <v>-979.5</v>
      </c>
      <c r="G24" s="19">
        <f t="shared" si="6"/>
        <v>-182</v>
      </c>
      <c r="H24" s="19">
        <f t="shared" si="6"/>
        <v>186.5</v>
      </c>
      <c r="I24" s="19">
        <f t="shared" si="6"/>
        <v>-76.5</v>
      </c>
      <c r="J24" s="19">
        <f t="shared" si="6"/>
        <v>-74.5</v>
      </c>
      <c r="K24" s="19">
        <f t="shared" si="6"/>
        <v>-1324.5</v>
      </c>
      <c r="L24" s="19">
        <f t="shared" si="6"/>
        <v>-1084.5</v>
      </c>
      <c r="M24" s="19">
        <f t="shared" si="6"/>
        <v>-766.5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lient xmlns="5be466aa-9221-4526-8a51-40bb3c3e9733" xsi:nil="true"/>
    <TaxCatchAll xmlns="79b53a2e-f2ad-401e-ad3b-f695ae178b13" xsi:nil="true"/>
    <lcf76f155ced4ddcb4097134ff3c332f xmlns="5be466aa-9221-4526-8a51-40bb3c3e9733">
      <Terms xmlns="http://schemas.microsoft.com/office/infopath/2007/PartnerControls"/>
    </lcf76f155ced4ddcb4097134ff3c332f>
    <Session_x0020_Number xmlns="5be466aa-9221-4526-8a51-40bb3c3e9733" xsi:nil="true"/>
    <MigrationWizIdPermissionLevels xmlns="5be466aa-9221-4526-8a51-40bb3c3e9733" xsi:nil="true"/>
    <Sign_x002d_off_x0020_status xmlns="5be466aa-9221-4526-8a51-40bb3c3e9733" xsi:nil="true"/>
    <MigrationWizIdPermissions xmlns="5be466aa-9221-4526-8a51-40bb3c3e9733" xsi:nil="true"/>
    <MigrationWizIdDocumentLibraryPermissions xmlns="5be466aa-9221-4526-8a51-40bb3c3e9733" xsi:nil="true"/>
    <MigrationWizIdSecurityGroups xmlns="5be466aa-9221-4526-8a51-40bb3c3e9733" xsi:nil="true"/>
    <MigrationWizIdVersion xmlns="5be466aa-9221-4526-8a51-40bb3c3e9733">d2845b84-f481-4551-b01b-ae2962ce63f0-638375645340000000</MigrationWizIdVersion>
    <MigrationWizId xmlns="5be466aa-9221-4526-8a51-40bb3c3e9733" xsi:nil="true"/>
    <lcf76f155ced4ddcb4097134ff3c332f0 xmlns="5be466aa-9221-4526-8a51-40bb3c3e973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EA066C29E94CB40A809408264F39" ma:contentTypeVersion="25" ma:contentTypeDescription="Create a new document." ma:contentTypeScope="" ma:versionID="276ed55de1736937d3a1b757b0afaefe">
  <xsd:schema xmlns:xsd="http://www.w3.org/2001/XMLSchema" xmlns:xs="http://www.w3.org/2001/XMLSchema" xmlns:p="http://schemas.microsoft.com/office/2006/metadata/properties" xmlns:ns2="5be466aa-9221-4526-8a51-40bb3c3e9733" xmlns:ns3="79b53a2e-f2ad-401e-ad3b-f695ae178b13" targetNamespace="http://schemas.microsoft.com/office/2006/metadata/properties" ma:root="true" ma:fieldsID="6682ac2efd9eb26b4af04477034f6470" ns2:_="" ns3:_="">
    <xsd:import namespace="5be466aa-9221-4526-8a51-40bb3c3e9733"/>
    <xsd:import namespace="79b53a2e-f2ad-401e-ad3b-f695ae178b1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Client" minOccurs="0"/>
                <xsd:element ref="ns2:Session_x0020_Number" minOccurs="0"/>
                <xsd:element ref="ns2:Sign_x002d_off_x0020_status" minOccurs="0"/>
                <xsd:element ref="ns2:lcf76f155ced4ddcb4097134ff3c332f0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66aa-9221-4526-8a51-40bb3c3e973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Client" ma:index="14" nillable="true" ma:displayName="Client" ma:internalName="Client" ma:readOnly="false">
      <xsd:simpleType>
        <xsd:restriction base="dms:Text">
          <xsd:maxLength value="255"/>
        </xsd:restriction>
      </xsd:simpleType>
    </xsd:element>
    <xsd:element name="Session_x0020_Number" ma:index="15" nillable="true" ma:displayName="Session Number" ma:internalName="Session_x0020_Number" ma:readOnly="false" ma:percentage="FALSE">
      <xsd:simpleType>
        <xsd:restriction base="dms:Number">
          <xsd:maxInclusive value="2"/>
          <xsd:minInclusive value="1"/>
        </xsd:restriction>
      </xsd:simpleType>
    </xsd:element>
    <xsd:element name="Sign_x002d_off_x0020_status" ma:index="16" nillable="true" ma:displayName="Sign-off status" ma:internalName="Sign_x002d_off_x0020_status" ma:readOnly="false">
      <xsd:simpleType>
        <xsd:restriction base="dms:Text">
          <xsd:maxLength value="255"/>
        </xsd:restriction>
      </xsd:simpleType>
    </xsd:element>
    <xsd:element name="lcf76f155ced4ddcb4097134ff3c332f0" ma:index="17" nillable="true" ma:displayName="Image Tags_0" ma:hidden="true" ma:internalName="lcf76f155ced4ddcb4097134ff3c332f0" ma:readOnly="fals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c5b3c6d-d9d8-41a8-b6c6-8930cfab3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3a2e-f2ad-401e-ad3b-f695ae178b1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db5aa20-83a6-4fbb-9a34-176a4ab377fa}" ma:internalName="TaxCatchAll" ma:showField="CatchAllData" ma:web="79b53a2e-f2ad-401e-ad3b-f695ae178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478BAA-AA87-4606-92DB-964431FD8799}"/>
</file>

<file path=customXml/itemProps2.xml><?xml version="1.0" encoding="utf-8"?>
<ds:datastoreItem xmlns:ds="http://schemas.openxmlformats.org/officeDocument/2006/customXml" ds:itemID="{0AA72978-F02E-4943-85BA-4261A9CFF860}"/>
</file>

<file path=customXml/itemProps3.xml><?xml version="1.0" encoding="utf-8"?>
<ds:datastoreItem xmlns:ds="http://schemas.openxmlformats.org/officeDocument/2006/customXml" ds:itemID="{2B8DAF94-1789-4745-B827-14503F135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2026-01-22T13:52:40Z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0x010100B7B4EA066C29E94CB40A809408264F39</vt:lpwstr>
  </property>
  <property fmtid="{D5CDD505-2E9C-101B-9397-08002B2CF9AE}" pid="3" name="MediaServiceImageTags">
    <vt:lpwstr/>
  </property>
</Properties>
</file>